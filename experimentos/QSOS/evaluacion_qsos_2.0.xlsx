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ober\AppData\Local\Temp\claude\c--Users-rober-controlciudadano-book\5f5075ba-4c91-4acc-a260-a8ff007c4be7\scratchpad\pubrepo\experimentos\QSOS\"/>
    </mc:Choice>
  </mc:AlternateContent>
  <xr:revisionPtr revIDLastSave="0" documentId="13_ncr:1_{3C75AB96-A958-461E-A59E-8A5B63437A56}" xr6:coauthVersionLast="47" xr6:coauthVersionMax="47" xr10:uidLastSave="{00000000-0000-0000-0000-000000000000}"/>
  <bookViews>
    <workbookView xWindow="-108" yWindow="-108" windowWidth="23256" windowHeight="12456" xr2:uid="{00000000-000D-0000-FFFF-FFFF00000000}"/>
  </bookViews>
  <sheets>
    <sheet name="Léeme" sheetId="1" r:id="rId1"/>
    <sheet name="Pesos" sheetId="2" r:id="rId2"/>
    <sheet name="2.0 Madurez" sheetId="3" r:id="rId3"/>
    <sheet name="2.0 Funcional" sheetId="4" r:id="rId4"/>
    <sheet name="2.0 Selecció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4" l="1"/>
  <c r="I15" i="4"/>
  <c r="H15" i="4"/>
  <c r="G15" i="4"/>
  <c r="J14" i="4"/>
  <c r="E6" i="5" s="1"/>
  <c r="I14" i="4"/>
  <c r="D6" i="5" s="1"/>
  <c r="H14" i="4"/>
  <c r="C6" i="5" s="1"/>
  <c r="G14" i="4"/>
  <c r="B6" i="5" s="1"/>
  <c r="F6" i="5" s="1"/>
  <c r="L12" i="4"/>
  <c r="L11" i="4"/>
  <c r="L10" i="4"/>
  <c r="L9" i="4"/>
  <c r="L8" i="4"/>
  <c r="L7" i="4"/>
  <c r="L6" i="4"/>
  <c r="L5" i="4"/>
  <c r="I28" i="3"/>
  <c r="H28" i="3"/>
  <c r="G28" i="3"/>
  <c r="F28" i="3"/>
  <c r="I27" i="3"/>
  <c r="H27" i="3"/>
  <c r="G27" i="3"/>
  <c r="F27" i="3"/>
  <c r="I26" i="3"/>
  <c r="H26" i="3"/>
  <c r="G26" i="3"/>
  <c r="F26" i="3"/>
  <c r="I25" i="3"/>
  <c r="H25" i="3"/>
  <c r="G25" i="3"/>
  <c r="F25" i="3"/>
  <c r="I23" i="3"/>
  <c r="E11" i="5" s="1"/>
  <c r="H23" i="3"/>
  <c r="D11" i="5" s="1"/>
  <c r="G23" i="3"/>
  <c r="C11" i="5" s="1"/>
  <c r="F23" i="3"/>
  <c r="B11" i="5" s="1"/>
  <c r="I22" i="3"/>
  <c r="H22" i="3"/>
  <c r="G22" i="3"/>
  <c r="F22" i="3"/>
  <c r="K20" i="3"/>
  <c r="K19" i="3"/>
  <c r="O18" i="3"/>
  <c r="N18" i="3"/>
  <c r="K18" i="3"/>
  <c r="K17" i="3"/>
  <c r="K16" i="3"/>
  <c r="K15" i="3"/>
  <c r="O15" i="3" s="1"/>
  <c r="K14" i="3"/>
  <c r="K13" i="3"/>
  <c r="K12" i="3"/>
  <c r="K11" i="3"/>
  <c r="K10" i="3"/>
  <c r="K9" i="3"/>
  <c r="K8" i="3"/>
  <c r="K7" i="3"/>
  <c r="O7" i="3" s="1"/>
  <c r="K6" i="3"/>
  <c r="K5" i="3"/>
  <c r="M10" i="4" l="1"/>
  <c r="P10" i="4"/>
  <c r="O10" i="4"/>
  <c r="N10" i="4"/>
  <c r="O13" i="3"/>
  <c r="N13" i="3"/>
  <c r="M13" i="3"/>
  <c r="L13" i="3"/>
  <c r="M12" i="4"/>
  <c r="N12" i="4"/>
  <c r="O12" i="4"/>
  <c r="P12" i="4"/>
  <c r="N11" i="4"/>
  <c r="P11" i="4"/>
  <c r="O11" i="4"/>
  <c r="M11" i="4"/>
  <c r="O9" i="4"/>
  <c r="P9" i="4"/>
  <c r="M9" i="4"/>
  <c r="N9" i="4"/>
  <c r="M8" i="4"/>
  <c r="N8" i="4"/>
  <c r="O8" i="4"/>
  <c r="P8" i="4"/>
  <c r="M7" i="4"/>
  <c r="P7" i="4"/>
  <c r="O7" i="4"/>
  <c r="N7" i="4"/>
  <c r="M6" i="4"/>
  <c r="N6" i="4"/>
  <c r="P6" i="4"/>
  <c r="O6" i="4"/>
  <c r="N5" i="4"/>
  <c r="M5" i="4"/>
  <c r="M14" i="4" s="1"/>
  <c r="B8" i="5" s="1"/>
  <c r="O5" i="4"/>
  <c r="O14" i="4" s="1"/>
  <c r="D8" i="5" s="1"/>
  <c r="P5" i="4"/>
  <c r="P14" i="4" s="1"/>
  <c r="E8" i="5" s="1"/>
  <c r="E16" i="5"/>
  <c r="E19" i="5"/>
  <c r="E18" i="5"/>
  <c r="E17" i="5"/>
  <c r="E5" i="5"/>
  <c r="E15" i="5"/>
  <c r="D16" i="5"/>
  <c r="D15" i="5"/>
  <c r="D17" i="5"/>
  <c r="D5" i="5"/>
  <c r="D18" i="5"/>
  <c r="D19" i="5"/>
  <c r="C19" i="5"/>
  <c r="C17" i="5"/>
  <c r="C16" i="5"/>
  <c r="C18" i="5"/>
  <c r="C5" i="5"/>
  <c r="C15" i="5"/>
  <c r="B19" i="5"/>
  <c r="B18" i="5"/>
  <c r="B16" i="5"/>
  <c r="B15" i="5"/>
  <c r="B17" i="5"/>
  <c r="B5" i="5"/>
  <c r="L20" i="3"/>
  <c r="O20" i="3"/>
  <c r="N20" i="3"/>
  <c r="M20" i="3"/>
  <c r="L19" i="3"/>
  <c r="N19" i="3"/>
  <c r="M19" i="3"/>
  <c r="O19" i="3"/>
  <c r="M18" i="3"/>
  <c r="L18" i="3"/>
  <c r="O17" i="3"/>
  <c r="N17" i="3"/>
  <c r="M17" i="3"/>
  <c r="L17" i="3"/>
  <c r="O16" i="3"/>
  <c r="N16" i="3"/>
  <c r="M16" i="3"/>
  <c r="L16" i="3"/>
  <c r="N15" i="3"/>
  <c r="M15" i="3"/>
  <c r="L15" i="3"/>
  <c r="M14" i="3"/>
  <c r="L14" i="3"/>
  <c r="O14" i="3"/>
  <c r="N14" i="3"/>
  <c r="O12" i="3"/>
  <c r="N12" i="3"/>
  <c r="M12" i="3"/>
  <c r="L12" i="3"/>
  <c r="O11" i="3"/>
  <c r="N11" i="3"/>
  <c r="M11" i="3"/>
  <c r="L11" i="3"/>
  <c r="M10" i="3"/>
  <c r="O10" i="3"/>
  <c r="N10" i="3"/>
  <c r="L10" i="3"/>
  <c r="M9" i="3"/>
  <c r="O9" i="3"/>
  <c r="L9" i="3"/>
  <c r="N9" i="3"/>
  <c r="O8" i="3"/>
  <c r="M8" i="3"/>
  <c r="L8" i="3"/>
  <c r="N8" i="3"/>
  <c r="N7" i="3"/>
  <c r="M7" i="3"/>
  <c r="L7" i="3"/>
  <c r="O6" i="3"/>
  <c r="N6" i="3"/>
  <c r="L6" i="3"/>
  <c r="M6" i="3"/>
  <c r="O5" i="3"/>
  <c r="N5" i="3"/>
  <c r="M5" i="3"/>
  <c r="L5" i="3"/>
  <c r="N14" i="4" l="1"/>
  <c r="C8" i="5" s="1"/>
  <c r="F19" i="5"/>
  <c r="F18" i="5"/>
  <c r="F16" i="5"/>
  <c r="F15" i="5"/>
  <c r="F17" i="5"/>
  <c r="F5" i="5"/>
  <c r="O22" i="3"/>
  <c r="E7" i="5" s="1"/>
  <c r="E9" i="5" s="1"/>
  <c r="E10" i="5" s="1"/>
  <c r="N22" i="3"/>
  <c r="D7" i="5" s="1"/>
  <c r="D9" i="5" s="1"/>
  <c r="D10" i="5" s="1"/>
  <c r="M22" i="3"/>
  <c r="C7" i="5" s="1"/>
  <c r="C9" i="5" s="1"/>
  <c r="C10" i="5" s="1"/>
  <c r="L22" i="3"/>
  <c r="B7" i="5" s="1"/>
  <c r="B9" i="5" s="1"/>
  <c r="B10" i="5" l="1"/>
  <c r="F9" i="5"/>
</calcChain>
</file>

<file path=xl/sharedStrings.xml><?xml version="1.0" encoding="utf-8"?>
<sst xmlns="http://schemas.openxmlformats.org/spreadsheetml/2006/main" count="335" uniqueCount="222">
  <si>
    <t>Evaluación QSOS 2.0 de los formatos de tabla</t>
  </si>
  <si>
    <t>Trabajo final de grado, Ingeniería en Informática, FP-UNA. Corresponde a la sección 5.3 y al apéndice A.1 del libro.</t>
  </si>
  <si>
    <t>Hoja</t>
  </si>
  <si>
    <t>Contenido</t>
  </si>
  <si>
    <t>Pesos</t>
  </si>
  <si>
    <t>Pesos de QSOS 2.0 según el nivel de importancia (sección 9.2.2 del método).</t>
  </si>
  <si>
    <t>2.0 Madurez</t>
  </si>
  <si>
    <t>Los 16 criterios de madurez con su regla oficial, los puntajes y la relevancia.</t>
  </si>
  <si>
    <t>2.0 Funcional</t>
  </si>
  <si>
    <t>Los 8 criterios de cobertura funcional (F1 a F8) con su regla, el requisito del caso al que responden, los puntajes y el nivel de requerimiento.</t>
  </si>
  <si>
    <t>2.0 Selección</t>
  </si>
  <si>
    <t>Totales por eje, puntaje ponderado, modo estricto y análisis de sensibilidad, calculados con fórmulas.</t>
  </si>
  <si>
    <t>Cómo editar</t>
  </si>
  <si>
    <t>Las celdas con texto azul son entradas: puntajes (0, 1 o 2), relevancia, nivel de requerimiento y pesos de los escenarios. El resto se recalcula.</t>
  </si>
  <si>
    <t>Fuentes</t>
  </si>
  <si>
    <t>Método: Semeteys et al., QSOS 2.0 (2013), apéndice A. Evidencia de los puntajes: repositorios de cada proyecto, registros de la Apache Software Foundation, carta constitutiva de Delta Lake, NVD y OSV, y documentación oficial, consultados en octubre de 2026.</t>
  </si>
  <si>
    <t>Colores de origen</t>
  </si>
  <si>
    <t>La fila 3 de cada hoja indica de dónde sale cada columna; el cuerpo lleva el mismo color.</t>
  </si>
  <si>
    <t>QSOS 2.0 (método)</t>
  </si>
  <si>
    <t>Lo fija el documento oficial del método: criterios de madurez, reglas, niveles y pesos, modos de selección.</t>
  </si>
  <si>
    <t>Autor (decisión propia)</t>
  </si>
  <si>
    <t>Decisión del evaluador: criterios F1 a F8 y sus reglas, interpretación de reglas, puntajes asignados, relevancia y pesos elegidos.</t>
  </si>
  <si>
    <t>Requisitos del caso</t>
  </si>
  <si>
    <t>Necesidad del portal Control Ciudadano (requisitos R1 a R6, sección 5.3.1).</t>
  </si>
  <si>
    <t>Evidencia externa</t>
  </si>
  <si>
    <t>Dato verificable en fuentes primarias.</t>
  </si>
  <si>
    <t>Cálculo (fórmula)</t>
  </si>
  <si>
    <t>Se recalcula solo.</t>
  </si>
  <si>
    <t>Pesos de cada versión</t>
  </si>
  <si>
    <t>Valores de los documentos oficiales. Las hojas de cálculo los buscan aquí.</t>
  </si>
  <si>
    <t>Nivel</t>
  </si>
  <si>
    <t>Peso</t>
  </si>
  <si>
    <t>Fuente</t>
  </si>
  <si>
    <t>Crítico</t>
  </si>
  <si>
    <t>QSOS 2.0, sección 9.2.2</t>
  </si>
  <si>
    <t>Relevante</t>
  </si>
  <si>
    <t>No relevante</t>
  </si>
  <si>
    <t>Requerida</t>
  </si>
  <si>
    <t>Opcional</t>
  </si>
  <si>
    <t>No requerida</t>
  </si>
  <si>
    <t>QSOS 2.0: eje de madurez (16 criterios obligatorios)</t>
  </si>
  <si>
    <t>Reglas: apéndice A de QSOS 2.0 (traducción del libro, tabla A.1). Puntajes: libro, tabla de madurez de la sección 5.3.2. Relevancia editable; por defecto "Crítico" en todos (pesos iguales).</t>
  </si>
  <si>
    <t>Grupo</t>
  </si>
  <si>
    <t>Criterio</t>
  </si>
  <si>
    <t>0</t>
  </si>
  <si>
    <t>1</t>
  </si>
  <si>
    <t>2</t>
  </si>
  <si>
    <t>Hudi</t>
  </si>
  <si>
    <t>Iceberg</t>
  </si>
  <si>
    <t>Delta</t>
  </si>
  <si>
    <t>Paimon</t>
  </si>
  <si>
    <t>Relevancia</t>
  </si>
  <si>
    <t>Hudi pond.</t>
  </si>
  <si>
    <t>Iceberg pond.</t>
  </si>
  <si>
    <t>Delta pond.</t>
  </si>
  <si>
    <t>Paimon pond.</t>
  </si>
  <si>
    <t>Interpretación o evidencia (libro)</t>
  </si>
  <si>
    <t>Legado</t>
  </si>
  <si>
    <t>Antigüedad</t>
  </si>
  <si>
    <t>Menos de tres meses</t>
  </si>
  <si>
    <t>Entre tres meses y tres años</t>
  </si>
  <si>
    <t>Más de tres años</t>
  </si>
  <si>
    <t>Las cuatro tienen más de tres años.</t>
  </si>
  <si>
    <t>Historia</t>
  </si>
  <si>
    <t>Problemas que pueden ser prohibitivos</t>
  </si>
  <si>
    <t>Sin crisis mayores, o historia desconocida</t>
  </si>
  <si>
    <t>Buena experiencia en gestión de crisis</t>
  </si>
  <si>
    <t>Ninguna registra crisis mayores ni su gestión.</t>
  </si>
  <si>
    <t>Equipo central</t>
  </si>
  <si>
    <t>Muy pocos desarrolladores identificados</t>
  </si>
  <si>
    <t>Pocos desarrolladores activos</t>
  </si>
  <si>
    <t>Equipo importante e identificado</t>
  </si>
  <si>
    <t>Equipo central identificado en las cuatro.</t>
  </si>
  <si>
    <t>Popularidad</t>
  </si>
  <si>
    <t>Muy pocos usuarios identificados</t>
  </si>
  <si>
    <t>Uso detectable</t>
  </si>
  <si>
    <t>Muchos usuarios y referencias conocidos</t>
  </si>
  <si>
    <t>Usuarios conocidos en las cuatro.</t>
  </si>
  <si>
    <t>Actividad</t>
  </si>
  <si>
    <t>Comunidad contribuyente</t>
  </si>
  <si>
    <t>Sin comunidad ni actividad</t>
  </si>
  <si>
    <t>Comunidad con actividad significativa</t>
  </si>
  <si>
    <t>Comunidad fuerte, con muchos contribuidores</t>
  </si>
  <si>
    <t>Autores en el último año: Hudi 108, Iceberg 292, Delta 158, Paimon 207.</t>
  </si>
  <si>
    <t>Actividad en errores</t>
  </si>
  <si>
    <t>Baja reactividad, o sin correcciones en las notas de versión</t>
  </si>
  <si>
    <t>Actividad sin proceso definido o con tiempos largos</t>
  </si>
  <si>
    <t>Alta reactividad, con roles y asignación de tareas</t>
  </si>
  <si>
    <t>Hudi y Paimon documentan cómo clasifican y asignan errores; Iceberg y Delta no. Cierre de errores del primer semestre 2026: 67 / 66 / 33 / 62 %.</t>
  </si>
  <si>
    <t>Actividad en funcionalidades</t>
  </si>
  <si>
    <t>Pocas o ninguna funcionalidad nueva</t>
  </si>
  <si>
    <t>Evolución sin un proceso declarado</t>
  </si>
  <si>
    <t>Proceso de pedidos industrializado y hoja de ruta asociada</t>
  </si>
  <si>
    <t>Paimon retiró su hoja de ruta de la documentación vigente.</t>
  </si>
  <si>
    <t>Actividad en versiones</t>
  </si>
  <si>
    <t>Muy baja actividad en versiones</t>
  </si>
  <si>
    <t>Versiones correctivas menores frecuentes</t>
  </si>
  <si>
    <t>Correctivas frecuentes y versiones mayores planificadas con la hoja de ruta</t>
  </si>
  <si>
    <t>Hudi publica un calendario de versiones con fechas, aunque con retrasos.</t>
  </si>
  <si>
    <t>Gobernanza</t>
  </si>
  <si>
    <t>Titulares del copyright</t>
  </si>
  <si>
    <t>Pocos individuos o entidades comerciales</t>
  </si>
  <si>
    <t>Muchos individuos, de forma uniforme</t>
  </si>
  <si>
    <t>Una entidad legal o fundación de confianza</t>
  </si>
  <si>
    <t>La carta de Delta deja el copyright en cada contribuyente; a la Linux Foundation pasan solo las marcas.</t>
  </si>
  <si>
    <t>Hoja de ruta</t>
  </si>
  <si>
    <t>No se publica</t>
  </si>
  <si>
    <t>Publicada, sin planificación</t>
  </si>
  <si>
    <t>Versionada, con planificación y medición de retrasos</t>
  </si>
  <si>
    <t>Hudi: calendario con fechas.</t>
  </si>
  <si>
    <t>Gestión del proyecto</t>
  </si>
  <si>
    <t>Sin gestión clara</t>
  </si>
  <si>
    <t>Un individuo o una sola entidad comercial</t>
  </si>
  <si>
    <t>Equipo independiente y derechos en una entidad reconocida</t>
  </si>
  <si>
    <t>Delta: al menos el 38 % de los commits del último año viene de Databricks.</t>
  </si>
  <si>
    <t>Modo de distribución</t>
  </si>
  <si>
    <t>Versión comercial y versión libre limitada</t>
  </si>
  <si>
    <t>Partes solo con licencia propietaria</t>
  </si>
  <si>
    <t>Distribución completamente libre</t>
  </si>
  <si>
    <t>Las cuatro, Apache 2.0.</t>
  </si>
  <si>
    <t>Industrialización</t>
  </si>
  <si>
    <t>Servicios</t>
  </si>
  <si>
    <t>Sin oferta de servicios</t>
  </si>
  <si>
    <t>Oferta limitada (un proveedor, un idioma o sin garantía)</t>
  </si>
  <si>
    <t>Ecosistema de servicios de varios proveedores</t>
  </si>
  <si>
    <t>Paimon, el más reciente, tiene oferta limitada.</t>
  </si>
  <si>
    <t>Documentación</t>
  </si>
  <si>
    <t>Sin documentación de usuario</t>
  </si>
  <si>
    <t>Parcialmente obsoleta, en un idioma o escasa</t>
  </si>
  <si>
    <t>Actualizada, traducida y adaptada a varios lectores</t>
  </si>
  <si>
    <t>Las cuatro publican solo en inglés.</t>
  </si>
  <si>
    <t>Aseguramiento de calidad</t>
  </si>
  <si>
    <t>Sin proceso identificado</t>
  </si>
  <si>
    <t>Procesos no formalizados ni equipados</t>
  </si>
  <si>
    <t>Proceso basado en herramientas y metodologías estándar</t>
  </si>
  <si>
    <t>CI y pruebas automáticas en las cuatro.</t>
  </si>
  <si>
    <t>Modificación del código</t>
  </si>
  <si>
    <t>Sin forma práctica de proponer cambios</t>
  </si>
  <si>
    <t>Herramientas que el equipo central no usa realmente</t>
  </si>
  <si>
    <t>Proceso de contribución definido, expuesto y respetado, con roles claros</t>
  </si>
  <si>
    <t>Proceso de contribución documentado en las cuatro.</t>
  </si>
  <si>
    <t>Suma simple (máx. 32)</t>
  </si>
  <si>
    <t>Ponderado →</t>
  </si>
  <si>
    <t>Criterios que fallan el modo estricto</t>
  </si>
  <si>
    <t>crítico &lt; 2 o relevante &lt; 1</t>
  </si>
  <si>
    <t>Subtotal por grupo</t>
  </si>
  <si>
    <t>QSOS 2.0: eje de cobertura funcional (F1–F8, definido por el evaluador)</t>
  </si>
  <si>
    <t>La regla oficial de QSOS es 0 no cubierta / 1 parcial / 2 completa; estas reglas la concretan para cada criterio y son propias. Puntajes: libro, tabla funcional de la sección 5.3.2 y tabla A.2. Nivel editable; por defecto "Requerida" en todos.</t>
  </si>
  <si>
    <t>#</t>
  </si>
  <si>
    <t>Requisito del caso (R1–R6, libro 5.3.1) y literatura</t>
  </si>
  <si>
    <t>F1</t>
  </si>
  <si>
    <t>Especificación abierta y versionada del formato</t>
  </si>
  <si>
    <t>R3. Otro motor lee y escribe sin depender del código de un proyecto. Literatura: ninguna</t>
  </si>
  <si>
    <t>Sin especificación</t>
  </si>
  <si>
    <t>Especificación sin versión del formato ni reglas de compatibilidad</t>
  </si>
  <si>
    <t>Especificación con versión y reglas de compatibilidad</t>
  </si>
  <si>
    <t>F2</t>
  </si>
  <si>
    <t>Lectura y escritura desde Spark, Trino, Flink y DuckDB</t>
  </si>
  <si>
    <t>R3. Trabajar desde varios motores (el portal ya usa PostgreSQL y Elasticsearch). Literatura: Armbrust et al. 2020; Schneider et al. 2024</t>
  </si>
  <si>
    <t>Suma menor que 2</t>
  </si>
  <si>
    <t>Suma de 2 a 3</t>
  </si>
  <si>
    <t>Suma de 3,5 o más (1 por motor que lee y escribe, 0,5 si solo lee)</t>
  </si>
  <si>
    <t>F3</t>
  </si>
  <si>
    <t>Catálogo abierto y especificado</t>
  </si>
  <si>
    <t>R3. Cambiar de motor o de catálogo sin migrar. Literatura: ninguna</t>
  </si>
  <si>
    <t>Sin catálogo</t>
  </si>
  <si>
    <t>Catálogos genéricos o API propia con poca adopción</t>
  </si>
  <si>
    <t>API abierta, especificada e implementada por varios proveedores</t>
  </si>
  <si>
    <t>F4</t>
  </si>
  <si>
    <t>Evolución de particiones sin reescribir datos</t>
  </si>
  <si>
    <t>R1. Reescribir 138 M de filas es caro. Literatura: Harby y Zulkernine 2025</t>
  </si>
  <si>
    <t>Exige reescribir los datos, o no está documentada</t>
  </si>
  <si>
    <t>Organización redefinible sin reescribir (clustering)</t>
  </si>
  <si>
    <t>Cambio de partición sin reescribir, con poda sobre datos viejos y nuevos</t>
  </si>
  <si>
    <t>F5</t>
  </si>
  <si>
    <t>Evolución de esquema completa</t>
  </si>
  <si>
    <t>R2. Se suman fuentes nuevas. Literatura: Armbrust et al. 2020; Harby y Zulkernine 2025</t>
  </si>
  <si>
    <t>Solo agregar columnas</t>
  </si>
  <si>
    <t>Parte estable y el resto experimental o con reescritura</t>
  </si>
  <si>
    <t>Agregar, borrar, renombrar, reordenar y ampliar tipos, estable</t>
  </si>
  <si>
    <t>F6</t>
  </si>
  <si>
    <t>Bibliotecas fuera de la máquina virtual de Java</t>
  </si>
  <si>
    <t>R4. Un solo servidor, como el portal en producción (servidor privado en la nube). Literatura: ninguna</t>
  </si>
  <si>
    <t>Solo en la JVM</t>
  </si>
  <si>
    <t>Fuera de la JVM, solo lectura</t>
  </si>
  <si>
    <t>Escritura en un lenguaje y lectura en dos fuera de la JVM</t>
  </si>
  <si>
    <t>F7</t>
  </si>
  <si>
    <t>Actualización por clave</t>
  </si>
  <si>
    <t>R5. Recargas incrementales (el portal todavía no las hace). Literatura: Jain et al. 2023; Harby y Zulkernine 2025</t>
  </si>
  <si>
    <t>Sin actualización por clave</t>
  </si>
  <si>
    <t>MERGE o modo de actualización sin índice de clave</t>
  </si>
  <si>
    <t>Clave declarada, con actualización nativa e índice</t>
  </si>
  <si>
    <t>F8</t>
  </si>
  <si>
    <t>Interoperabilidad entre formatos</t>
  </si>
  <si>
    <t>R6. No quedar atado a un proveedor ni a un formato. Literatura: ninguna</t>
  </si>
  <si>
    <t>Ninguna</t>
  </si>
  <si>
    <t>Solo con una herramienta externa</t>
  </si>
  <si>
    <t>El proyecto genera los metadatos de otro formato</t>
  </si>
  <si>
    <t>Suma simple (máx. 16)</t>
  </si>
  <si>
    <t>Funcionalidades requeridas no cubiertas (0)</t>
  </si>
  <si>
    <t>QSOS 2.0: selección y sensibilidad</t>
  </si>
  <si>
    <t>Todo se calcula desde las hojas "2.0 Madurez" y "2.0 Funcional" (texto verde = vínculo a otra hoja). La sensibilidad usa pesos fijos por bloque, independientes de las columnas editables.</t>
  </si>
  <si>
    <t>Concepto</t>
  </si>
  <si>
    <t>Primero</t>
  </si>
  <si>
    <t>Madurez, suma simple (máx. 32)</t>
  </si>
  <si>
    <t>Cobertura funcional, suma simple (máx. 16)</t>
  </si>
  <si>
    <t>Madurez ponderada (según relevancia elegida)</t>
  </si>
  <si>
    <t>Funcional ponderada (según nivel elegido)</t>
  </si>
  <si>
    <t>Puntaje ponderado total (modo flexible)</t>
  </si>
  <si>
    <t>Posición</t>
  </si>
  <si>
    <t>Modo estricto: ¿pasa?</t>
  </si>
  <si>
    <t>Sensibilidad: pesos por bloque</t>
  </si>
  <si>
    <t>Escenario</t>
  </si>
  <si>
    <t>Peso madurez</t>
  </si>
  <si>
    <t>Peso F1–F6</t>
  </si>
  <si>
    <t>Peso F7–F8</t>
  </si>
  <si>
    <t>Pesos iguales (la usada en el libro)</t>
  </si>
  <si>
    <t>Madurez relevante; funcionalidades requeridas</t>
  </si>
  <si>
    <t>Madurez crítica; F7 y F8 opcionales</t>
  </si>
  <si>
    <t>Madurez crítica; todas las funcionalidades opcionales</t>
  </si>
  <si>
    <t>Sin pesos</t>
  </si>
  <si>
    <t>Pasar F7 y F8 (actualización por clave e interoperabilidad) a opcionales no cambia el orden. El orden se invierte solo si también F1–F6 pasan a opcionales.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</si>
</sst>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Arial"/>
    </font>
    <font>
      <i/>
      <sz val="9"/>
      <color rgb="FF555555"/>
      <name val="Arial"/>
    </font>
    <font>
      <b/>
      <sz val="10"/>
      <color rgb="FFFFFFFF"/>
      <name val="Arial"/>
    </font>
    <font>
      <b/>
      <sz val="10"/>
      <name val="Arial"/>
    </font>
    <font>
      <sz val="10"/>
      <name val="Arial"/>
    </font>
    <font>
      <sz val="10"/>
      <color rgb="FF0000FF"/>
      <name val="Arial"/>
    </font>
    <font>
      <sz val="10"/>
      <color rgb="FF008000"/>
      <name val="Arial"/>
    </font>
    <font>
      <b/>
      <sz val="8"/>
      <name val="Arial"/>
    </font>
    <font>
      <i/>
      <sz val="9"/>
      <color rgb="FF555555"/>
      <name val="Arial"/>
    </font>
    <font>
      <b/>
      <sz val="10"/>
      <color rgb="FFFFFFFF"/>
      <name val="Arial"/>
    </font>
  </fonts>
  <fills count="16">
    <fill>
      <patternFill patternType="none"/>
    </fill>
    <fill>
      <patternFill patternType="gray125"/>
    </fill>
    <fill>
      <patternFill patternType="solid">
        <fgColor rgb="FF2F3A5A"/>
      </patternFill>
    </fill>
    <fill>
      <patternFill patternType="solid">
        <fgColor rgb="FFDDE7F7"/>
      </patternFill>
    </fill>
    <fill>
      <patternFill patternType="solid">
        <fgColor rgb="FFE6E9F0"/>
      </patternFill>
    </fill>
    <fill>
      <patternFill patternType="solid">
        <fgColor rgb="FFDBE7FB"/>
      </patternFill>
    </fill>
    <fill>
      <patternFill patternType="solid">
        <fgColor rgb="FFFDE9C8"/>
      </patternFill>
    </fill>
    <fill>
      <patternFill patternType="solid">
        <fgColor rgb="FFFFFFFF"/>
      </patternFill>
    </fill>
    <fill>
      <patternFill patternType="solid">
        <fgColor rgb="FFE6E6E2"/>
      </patternFill>
    </fill>
    <fill>
      <patternFill patternType="solid">
        <fgColor rgb="FFCDEFF0"/>
      </patternFill>
    </fill>
    <fill>
      <patternFill patternType="solid">
        <fgColor rgb="FF2F3A5A"/>
      </patternFill>
    </fill>
    <fill>
      <patternFill patternType="solid">
        <fgColor rgb="FFDBE7FB"/>
      </patternFill>
    </fill>
    <fill>
      <patternFill patternType="solid">
        <fgColor rgb="FFFDE9C8"/>
      </patternFill>
    </fill>
    <fill>
      <patternFill patternType="solid">
        <fgColor rgb="FFCDEFF0"/>
      </patternFill>
    </fill>
    <fill>
      <patternFill patternType="solid">
        <fgColor rgb="FFE6E6E2"/>
      </patternFill>
    </fill>
    <fill>
      <patternFill patternType="solid">
        <fgColor rgb="FFFFFFFF"/>
      </patternFill>
    </fill>
  </fills>
  <borders count="3">
    <border>
      <left/>
      <right/>
      <top/>
      <bottom/>
      <diagonal/>
    </border>
    <border>
      <left style="thin">
        <color rgb="FFBFC5D2"/>
      </left>
      <right style="thin">
        <color rgb="FFBFC5D2"/>
      </right>
      <top style="thin">
        <color rgb="FFBFC5D2"/>
      </top>
      <bottom style="thin">
        <color rgb="FFBFC5D2"/>
      </bottom>
      <diagonal/>
    </border>
    <border>
      <left/>
      <right/>
      <top/>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5" fillId="0" borderId="1" xfId="0" applyFont="1" applyBorder="1" applyAlignment="1">
      <alignment vertical="top"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3" fillId="2" borderId="1" xfId="0" applyFont="1" applyFill="1" applyBorder="1" applyAlignment="1">
      <alignment vertical="center"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horizontal="center" vertical="top"/>
    </xf>
    <xf numFmtId="0" fontId="8" fillId="7" borderId="1" xfId="0" applyFont="1" applyFill="1" applyBorder="1" applyAlignment="1">
      <alignment horizontal="center" vertical="center" wrapText="1"/>
    </xf>
    <xf numFmtId="0" fontId="6" fillId="6" borderId="1" xfId="0" applyFont="1" applyFill="1" applyBorder="1" applyAlignment="1">
      <alignment horizontal="center" vertical="top"/>
    </xf>
    <xf numFmtId="0" fontId="5" fillId="7" borderId="1" xfId="0" applyFont="1" applyFill="1" applyBorder="1" applyAlignment="1">
      <alignment horizontal="center" vertical="top"/>
    </xf>
    <xf numFmtId="0" fontId="4" fillId="3" borderId="1" xfId="0" applyFont="1" applyFill="1" applyBorder="1" applyAlignment="1">
      <alignment vertical="top" wrapText="1"/>
    </xf>
    <xf numFmtId="0" fontId="4" fillId="3" borderId="1" xfId="0" applyFont="1" applyFill="1" applyBorder="1" applyAlignment="1">
      <alignment horizontal="center" vertical="top"/>
    </xf>
    <xf numFmtId="0" fontId="4" fillId="0" borderId="1" xfId="0" applyFont="1" applyBorder="1" applyAlignment="1">
      <alignment vertical="top" wrapText="1"/>
    </xf>
    <xf numFmtId="0" fontId="5" fillId="0" borderId="1" xfId="0" applyFont="1" applyBorder="1" applyAlignment="1">
      <alignment horizontal="center" vertical="top"/>
    </xf>
    <xf numFmtId="0" fontId="4" fillId="4" borderId="1" xfId="0" applyFont="1" applyFill="1" applyBorder="1" applyAlignment="1">
      <alignment vertical="top" wrapText="1"/>
    </xf>
    <xf numFmtId="0" fontId="8" fillId="8" borderId="1" xfId="0" applyFont="1" applyFill="1" applyBorder="1" applyAlignment="1">
      <alignment horizontal="center" vertical="center" wrapText="1"/>
    </xf>
    <xf numFmtId="0" fontId="5" fillId="8" borderId="1" xfId="0" applyFont="1" applyFill="1" applyBorder="1" applyAlignment="1">
      <alignment vertical="top" wrapText="1"/>
    </xf>
    <xf numFmtId="0" fontId="8" fillId="9" borderId="1" xfId="0" applyFont="1" applyFill="1" applyBorder="1" applyAlignment="1">
      <alignment horizontal="center" vertical="center" wrapText="1"/>
    </xf>
    <xf numFmtId="0" fontId="4" fillId="6" borderId="1" xfId="0" applyFont="1" applyFill="1" applyBorder="1" applyAlignment="1">
      <alignment vertical="top" wrapText="1"/>
    </xf>
    <xf numFmtId="0" fontId="5" fillId="9" borderId="1" xfId="0" applyFont="1" applyFill="1" applyBorder="1" applyAlignment="1">
      <alignment vertical="top" wrapText="1"/>
    </xf>
    <xf numFmtId="0" fontId="7" fillId="0" borderId="1" xfId="0" applyFont="1" applyBorder="1" applyAlignment="1">
      <alignment horizontal="center" vertical="top"/>
    </xf>
    <xf numFmtId="0" fontId="4" fillId="0" borderId="1" xfId="0" applyFont="1" applyBorder="1" applyAlignment="1">
      <alignment horizontal="center" vertical="top"/>
    </xf>
    <xf numFmtId="0" fontId="3" fillId="2" borderId="0" xfId="0" applyFont="1" applyFill="1" applyAlignment="1">
      <alignment wrapText="1"/>
    </xf>
    <xf numFmtId="0" fontId="4" fillId="7" borderId="1" xfId="0" applyFont="1" applyFill="1" applyBorder="1" applyAlignment="1">
      <alignment vertical="top" wrapText="1"/>
    </xf>
    <xf numFmtId="0" fontId="4" fillId="7" borderId="1" xfId="0" applyFont="1" applyFill="1" applyBorder="1" applyAlignment="1">
      <alignment horizontal="center" vertical="top"/>
    </xf>
    <xf numFmtId="0" fontId="5" fillId="7" borderId="1" xfId="0" applyFont="1" applyFill="1" applyBorder="1" applyAlignment="1">
      <alignment vertical="top" wrapText="1"/>
    </xf>
    <xf numFmtId="0" fontId="1" fillId="0" borderId="2" xfId="0" applyFont="1" applyBorder="1"/>
    <xf numFmtId="0" fontId="0" fillId="0" borderId="2" xfId="0" applyBorder="1"/>
    <xf numFmtId="0" fontId="9" fillId="0" borderId="2" xfId="0" applyFont="1" applyBorder="1"/>
    <xf numFmtId="0" fontId="10" fillId="10" borderId="2" xfId="0" applyFont="1" applyFill="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4" fillId="11" borderId="2" xfId="0" applyFont="1" applyFill="1" applyBorder="1" applyAlignment="1">
      <alignment vertical="top" wrapText="1"/>
    </xf>
    <xf numFmtId="0" fontId="4" fillId="12" borderId="2" xfId="0" applyFont="1" applyFill="1" applyBorder="1" applyAlignment="1">
      <alignment vertical="top" wrapText="1"/>
    </xf>
    <xf numFmtId="0" fontId="4" fillId="13" borderId="2" xfId="0" applyFont="1" applyFill="1" applyBorder="1"/>
    <xf numFmtId="0" fontId="4" fillId="14" borderId="2" xfId="0" applyFont="1" applyFill="1" applyBorder="1"/>
    <xf numFmtId="0" fontId="4" fillId="15" borderId="2" xfId="0" applyFont="1" applyFill="1" applyBorder="1"/>
    <xf numFmtId="0" fontId="4" fillId="0" borderId="2" xfId="0" applyFont="1" applyBorder="1"/>
    <xf numFmtId="0" fontId="7" fillId="0" borderId="2" xfId="0" applyFont="1" applyBorder="1" applyAlignment="1">
      <alignment horizontal="center" vertical="top"/>
    </xf>
    <xf numFmtId="0" fontId="4" fillId="0" borderId="2" xfId="0" applyFont="1" applyBorder="1" applyAlignment="1">
      <alignment horizontal="center" vertical="top"/>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3A5A"/>
  </sheetPr>
  <dimension ref="A1:B26"/>
  <sheetViews>
    <sheetView showGridLines="0" tabSelected="1" workbookViewId="0"/>
  </sheetViews>
  <sheetFormatPr baseColWidth="10" defaultColWidth="8.88671875" defaultRowHeight="14.4" x14ac:dyDescent="0.3"/>
  <cols>
    <col min="1" max="1" width="28" customWidth="1"/>
    <col min="2" max="2" width="100" customWidth="1"/>
  </cols>
  <sheetData>
    <row r="1" spans="1:2" ht="17.399999999999999" customHeight="1" x14ac:dyDescent="0.3">
      <c r="A1" s="30" t="s">
        <v>0</v>
      </c>
      <c r="B1" s="31"/>
    </row>
    <row r="2" spans="1:2" x14ac:dyDescent="0.3">
      <c r="A2" s="32" t="s">
        <v>1</v>
      </c>
      <c r="B2" s="31"/>
    </row>
    <row r="3" spans="1:2" x14ac:dyDescent="0.3">
      <c r="A3" s="31"/>
      <c r="B3" s="31"/>
    </row>
    <row r="4" spans="1:2" x14ac:dyDescent="0.3">
      <c r="A4" s="33" t="s">
        <v>2</v>
      </c>
      <c r="B4" s="33" t="s">
        <v>3</v>
      </c>
    </row>
    <row r="5" spans="1:2" x14ac:dyDescent="0.3">
      <c r="A5" s="34" t="s">
        <v>4</v>
      </c>
      <c r="B5" s="35" t="s">
        <v>5</v>
      </c>
    </row>
    <row r="6" spans="1:2" x14ac:dyDescent="0.3">
      <c r="A6" s="34" t="s">
        <v>6</v>
      </c>
      <c r="B6" s="35" t="s">
        <v>7</v>
      </c>
    </row>
    <row r="7" spans="1:2" ht="26.4" customHeight="1" x14ac:dyDescent="0.3">
      <c r="A7" s="34" t="s">
        <v>8</v>
      </c>
      <c r="B7" s="35" t="s">
        <v>9</v>
      </c>
    </row>
    <row r="8" spans="1:2" ht="26.4" customHeight="1" x14ac:dyDescent="0.3">
      <c r="A8" s="34" t="s">
        <v>10</v>
      </c>
      <c r="B8" s="35" t="s">
        <v>11</v>
      </c>
    </row>
    <row r="9" spans="1:2" x14ac:dyDescent="0.3">
      <c r="A9" s="34"/>
      <c r="B9" s="35"/>
    </row>
    <row r="10" spans="1:2" ht="26.4" x14ac:dyDescent="0.3">
      <c r="A10" s="34" t="s">
        <v>12</v>
      </c>
      <c r="B10" s="35" t="s">
        <v>13</v>
      </c>
    </row>
    <row r="11" spans="1:2" ht="39.6" x14ac:dyDescent="0.3">
      <c r="A11" s="34" t="s">
        <v>14</v>
      </c>
      <c r="B11" s="35" t="s">
        <v>15</v>
      </c>
    </row>
    <row r="12" spans="1:2" x14ac:dyDescent="0.3">
      <c r="A12" s="34"/>
      <c r="B12" s="35"/>
    </row>
    <row r="13" spans="1:2" ht="26.4" customHeight="1" x14ac:dyDescent="0.3">
      <c r="A13" s="34" t="s">
        <v>16</v>
      </c>
      <c r="B13" s="35" t="s">
        <v>17</v>
      </c>
    </row>
    <row r="14" spans="1:2" ht="39.6" customHeight="1" x14ac:dyDescent="0.3">
      <c r="A14" s="36" t="s">
        <v>18</v>
      </c>
      <c r="B14" s="35" t="s">
        <v>19</v>
      </c>
    </row>
    <row r="15" spans="1:2" ht="52.8" customHeight="1" x14ac:dyDescent="0.3">
      <c r="A15" s="37" t="s">
        <v>20</v>
      </c>
      <c r="B15" s="35" t="s">
        <v>21</v>
      </c>
    </row>
    <row r="16" spans="1:2" x14ac:dyDescent="0.3">
      <c r="A16" s="38" t="s">
        <v>22</v>
      </c>
      <c r="B16" s="35" t="s">
        <v>23</v>
      </c>
    </row>
    <row r="17" spans="1:2" x14ac:dyDescent="0.3">
      <c r="A17" s="39" t="s">
        <v>24</v>
      </c>
      <c r="B17" s="35" t="s">
        <v>25</v>
      </c>
    </row>
    <row r="18" spans="1:2" x14ac:dyDescent="0.3">
      <c r="A18" s="40" t="s">
        <v>26</v>
      </c>
      <c r="B18" s="35" t="s">
        <v>27</v>
      </c>
    </row>
    <row r="19" spans="1:2" x14ac:dyDescent="0.3">
      <c r="A19" s="41"/>
      <c r="B19" s="35"/>
    </row>
    <row r="20" spans="1:2" x14ac:dyDescent="0.3">
      <c r="A20" s="41"/>
      <c r="B20" s="35"/>
    </row>
    <row r="21" spans="1:2" ht="26.4" customHeight="1" x14ac:dyDescent="0.3">
      <c r="A21" s="41"/>
      <c r="B21" s="35"/>
    </row>
    <row r="22" spans="1:2" x14ac:dyDescent="0.3">
      <c r="A22" s="41"/>
      <c r="B22" s="35"/>
    </row>
    <row r="23" spans="1:2" x14ac:dyDescent="0.3">
      <c r="A23" s="41"/>
      <c r="B23" s="35"/>
    </row>
    <row r="24" spans="1:2" ht="39.6" customHeight="1" x14ac:dyDescent="0.3">
      <c r="A24" s="41"/>
      <c r="B24" s="35"/>
    </row>
    <row r="25" spans="1:2" x14ac:dyDescent="0.3">
      <c r="A25" s="41"/>
      <c r="B25" s="35"/>
    </row>
    <row r="26" spans="1:2" x14ac:dyDescent="0.3">
      <c r="A26" s="41"/>
      <c r="B26" s="35"/>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F6F68"/>
  </sheetPr>
  <dimension ref="A1:C10"/>
  <sheetViews>
    <sheetView showGridLines="0" workbookViewId="0"/>
  </sheetViews>
  <sheetFormatPr baseColWidth="10" defaultColWidth="8.88671875" defaultRowHeight="14.4" x14ac:dyDescent="0.3"/>
  <cols>
    <col min="1" max="1" width="26" customWidth="1"/>
    <col min="2" max="2" width="12" customWidth="1"/>
    <col min="3" max="3" width="60" customWidth="1"/>
  </cols>
  <sheetData>
    <row r="1" spans="1:3" ht="17.399999999999999" customHeight="1" x14ac:dyDescent="0.3">
      <c r="A1" s="1" t="s">
        <v>28</v>
      </c>
    </row>
    <row r="2" spans="1:3" x14ac:dyDescent="0.3">
      <c r="A2" s="2" t="s">
        <v>29</v>
      </c>
    </row>
    <row r="3" spans="1:3" ht="25.95" customHeight="1" x14ac:dyDescent="0.3">
      <c r="A3" s="4" t="s">
        <v>18</v>
      </c>
      <c r="B3" s="4" t="s">
        <v>18</v>
      </c>
      <c r="C3" s="4" t="s">
        <v>18</v>
      </c>
    </row>
    <row r="4" spans="1:3" ht="30" customHeight="1" x14ac:dyDescent="0.3">
      <c r="A4" s="6" t="s">
        <v>30</v>
      </c>
      <c r="B4" s="6" t="s">
        <v>31</v>
      </c>
      <c r="C4" s="6" t="s">
        <v>32</v>
      </c>
    </row>
    <row r="5" spans="1:3" x14ac:dyDescent="0.3">
      <c r="A5" s="9" t="s">
        <v>33</v>
      </c>
      <c r="B5" s="10">
        <v>3</v>
      </c>
      <c r="C5" s="7" t="s">
        <v>34</v>
      </c>
    </row>
    <row r="6" spans="1:3" x14ac:dyDescent="0.3">
      <c r="A6" s="9" t="s">
        <v>35</v>
      </c>
      <c r="B6" s="10">
        <v>1</v>
      </c>
      <c r="C6" s="7" t="s">
        <v>34</v>
      </c>
    </row>
    <row r="7" spans="1:3" x14ac:dyDescent="0.3">
      <c r="A7" s="9" t="s">
        <v>36</v>
      </c>
      <c r="B7" s="10">
        <v>0</v>
      </c>
      <c r="C7" s="7" t="s">
        <v>34</v>
      </c>
    </row>
    <row r="8" spans="1:3" x14ac:dyDescent="0.3">
      <c r="A8" s="9" t="s">
        <v>37</v>
      </c>
      <c r="B8" s="10">
        <v>3</v>
      </c>
      <c r="C8" s="7" t="s">
        <v>34</v>
      </c>
    </row>
    <row r="9" spans="1:3" x14ac:dyDescent="0.3">
      <c r="A9" s="9" t="s">
        <v>38</v>
      </c>
      <c r="B9" s="10">
        <v>1</v>
      </c>
      <c r="C9" s="7" t="s">
        <v>34</v>
      </c>
    </row>
    <row r="10" spans="1:3" x14ac:dyDescent="0.3">
      <c r="A10" s="9" t="s">
        <v>39</v>
      </c>
      <c r="B10" s="10">
        <v>0</v>
      </c>
      <c r="C10" s="7" t="s">
        <v>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FB3"/>
  </sheetPr>
  <dimension ref="A1:P28"/>
  <sheetViews>
    <sheetView showGridLines="0" workbookViewId="0">
      <pane xSplit="2" ySplit="4" topLeftCell="C5" activePane="bottomRight" state="frozen"/>
      <selection pane="topRight"/>
      <selection pane="bottomLeft"/>
      <selection pane="bottomRight"/>
    </sheetView>
  </sheetViews>
  <sheetFormatPr baseColWidth="10" defaultColWidth="8.88671875" defaultRowHeight="14.4" x14ac:dyDescent="0.3"/>
  <cols>
    <col min="1" max="1" width="16" customWidth="1"/>
    <col min="2" max="2" width="24" customWidth="1"/>
    <col min="3" max="4" width="26" customWidth="1"/>
    <col min="5" max="5" width="30" customWidth="1"/>
    <col min="6" max="9" width="7" customWidth="1"/>
    <col min="10" max="10" width="13" customWidth="1"/>
    <col min="11" max="11" width="7" customWidth="1"/>
    <col min="12" max="15" width="9" customWidth="1"/>
    <col min="16" max="16" width="50" customWidth="1"/>
  </cols>
  <sheetData>
    <row r="1" spans="1:16" ht="17.399999999999999" customHeight="1" x14ac:dyDescent="0.3">
      <c r="A1" s="1" t="s">
        <v>40</v>
      </c>
    </row>
    <row r="2" spans="1:16" x14ac:dyDescent="0.3">
      <c r="A2" s="2" t="s">
        <v>41</v>
      </c>
    </row>
    <row r="3" spans="1:16" ht="25.95" customHeight="1" x14ac:dyDescent="0.3">
      <c r="A3" s="4" t="s">
        <v>18</v>
      </c>
      <c r="B3" s="4" t="s">
        <v>18</v>
      </c>
      <c r="C3" s="4" t="s">
        <v>18</v>
      </c>
      <c r="D3" s="4" t="s">
        <v>18</v>
      </c>
      <c r="E3" s="4" t="s">
        <v>18</v>
      </c>
      <c r="F3" s="5" t="s">
        <v>20</v>
      </c>
      <c r="G3" s="5" t="s">
        <v>20</v>
      </c>
      <c r="H3" s="5" t="s">
        <v>20</v>
      </c>
      <c r="I3" s="5" t="s">
        <v>20</v>
      </c>
      <c r="J3" s="5" t="s">
        <v>20</v>
      </c>
      <c r="K3" s="11" t="s">
        <v>26</v>
      </c>
      <c r="L3" s="11" t="s">
        <v>26</v>
      </c>
      <c r="M3" s="11" t="s">
        <v>26</v>
      </c>
      <c r="N3" s="11" t="s">
        <v>26</v>
      </c>
      <c r="O3" s="11" t="s">
        <v>26</v>
      </c>
      <c r="P3" s="19" t="s">
        <v>24</v>
      </c>
    </row>
    <row r="4" spans="1:16" ht="30" customHeight="1" x14ac:dyDescent="0.3">
      <c r="A4" s="6" t="s">
        <v>42</v>
      </c>
      <c r="B4" s="6" t="s">
        <v>43</v>
      </c>
      <c r="C4" s="6" t="s">
        <v>44</v>
      </c>
      <c r="D4" s="6" t="s">
        <v>45</v>
      </c>
      <c r="E4" s="6" t="s">
        <v>46</v>
      </c>
      <c r="F4" s="6" t="s">
        <v>47</v>
      </c>
      <c r="G4" s="6" t="s">
        <v>48</v>
      </c>
      <c r="H4" s="6" t="s">
        <v>49</v>
      </c>
      <c r="I4" s="6" t="s">
        <v>50</v>
      </c>
      <c r="J4" s="6" t="s">
        <v>51</v>
      </c>
      <c r="K4" s="6" t="s">
        <v>31</v>
      </c>
      <c r="L4" s="6" t="s">
        <v>52</v>
      </c>
      <c r="M4" s="6" t="s">
        <v>53</v>
      </c>
      <c r="N4" s="6" t="s">
        <v>54</v>
      </c>
      <c r="O4" s="6" t="s">
        <v>55</v>
      </c>
      <c r="P4" s="6" t="s">
        <v>56</v>
      </c>
    </row>
    <row r="5" spans="1:16" x14ac:dyDescent="0.3">
      <c r="A5" s="7" t="s">
        <v>57</v>
      </c>
      <c r="B5" s="9" t="s">
        <v>58</v>
      </c>
      <c r="C5" s="7" t="s">
        <v>59</v>
      </c>
      <c r="D5" s="7" t="s">
        <v>60</v>
      </c>
      <c r="E5" s="7" t="s">
        <v>61</v>
      </c>
      <c r="F5" s="12">
        <v>2</v>
      </c>
      <c r="G5" s="12">
        <v>2</v>
      </c>
      <c r="H5" s="12">
        <v>2</v>
      </c>
      <c r="I5" s="12">
        <v>2</v>
      </c>
      <c r="J5" s="12" t="s">
        <v>33</v>
      </c>
      <c r="K5" s="13">
        <f>IFERROR(VLOOKUP(J5,Pesos!$A$5:$B$10,2,FALSE),0)</f>
        <v>3</v>
      </c>
      <c r="L5" s="13">
        <f t="shared" ref="L5:L20" si="0">F5*$K5</f>
        <v>6</v>
      </c>
      <c r="M5" s="13">
        <f t="shared" ref="M5:M20" si="1">G5*$K5</f>
        <v>6</v>
      </c>
      <c r="N5" s="13">
        <f t="shared" ref="N5:N20" si="2">H5*$K5</f>
        <v>6</v>
      </c>
      <c r="O5" s="13">
        <f t="shared" ref="O5:O20" si="3">I5*$K5</f>
        <v>6</v>
      </c>
      <c r="P5" s="20" t="s">
        <v>62</v>
      </c>
    </row>
    <row r="6" spans="1:16" ht="26.4" customHeight="1" x14ac:dyDescent="0.3">
      <c r="A6" s="7" t="s">
        <v>57</v>
      </c>
      <c r="B6" s="9" t="s">
        <v>63</v>
      </c>
      <c r="C6" s="7" t="s">
        <v>64</v>
      </c>
      <c r="D6" s="7" t="s">
        <v>65</v>
      </c>
      <c r="E6" s="7" t="s">
        <v>66</v>
      </c>
      <c r="F6" s="12">
        <v>1</v>
      </c>
      <c r="G6" s="12">
        <v>1</v>
      </c>
      <c r="H6" s="12">
        <v>1</v>
      </c>
      <c r="I6" s="12">
        <v>1</v>
      </c>
      <c r="J6" s="12" t="s">
        <v>33</v>
      </c>
      <c r="K6" s="13">
        <f>IFERROR(VLOOKUP(J6,Pesos!$A$5:$B$10,2,FALSE),0)</f>
        <v>3</v>
      </c>
      <c r="L6" s="13">
        <f t="shared" si="0"/>
        <v>3</v>
      </c>
      <c r="M6" s="13">
        <f t="shared" si="1"/>
        <v>3</v>
      </c>
      <c r="N6" s="13">
        <f t="shared" si="2"/>
        <v>3</v>
      </c>
      <c r="O6" s="13">
        <f t="shared" si="3"/>
        <v>3</v>
      </c>
      <c r="P6" s="20" t="s">
        <v>67</v>
      </c>
    </row>
    <row r="7" spans="1:16" ht="26.4" customHeight="1" x14ac:dyDescent="0.3">
      <c r="A7" s="7" t="s">
        <v>57</v>
      </c>
      <c r="B7" s="9" t="s">
        <v>68</v>
      </c>
      <c r="C7" s="7" t="s">
        <v>69</v>
      </c>
      <c r="D7" s="7" t="s">
        <v>70</v>
      </c>
      <c r="E7" s="7" t="s">
        <v>71</v>
      </c>
      <c r="F7" s="12">
        <v>2</v>
      </c>
      <c r="G7" s="12">
        <v>2</v>
      </c>
      <c r="H7" s="12">
        <v>2</v>
      </c>
      <c r="I7" s="12">
        <v>2</v>
      </c>
      <c r="J7" s="12" t="s">
        <v>33</v>
      </c>
      <c r="K7" s="13">
        <f>IFERROR(VLOOKUP(J7,Pesos!$A$5:$B$10,2,FALSE),0)</f>
        <v>3</v>
      </c>
      <c r="L7" s="13">
        <f t="shared" si="0"/>
        <v>6</v>
      </c>
      <c r="M7" s="13">
        <f t="shared" si="1"/>
        <v>6</v>
      </c>
      <c r="N7" s="13">
        <f t="shared" si="2"/>
        <v>6</v>
      </c>
      <c r="O7" s="13">
        <f t="shared" si="3"/>
        <v>6</v>
      </c>
      <c r="P7" s="20" t="s">
        <v>72</v>
      </c>
    </row>
    <row r="8" spans="1:16" ht="26.4" customHeight="1" x14ac:dyDescent="0.3">
      <c r="A8" s="7" t="s">
        <v>57</v>
      </c>
      <c r="B8" s="9" t="s">
        <v>73</v>
      </c>
      <c r="C8" s="7" t="s">
        <v>74</v>
      </c>
      <c r="D8" s="7" t="s">
        <v>75</v>
      </c>
      <c r="E8" s="7" t="s">
        <v>76</v>
      </c>
      <c r="F8" s="12">
        <v>2</v>
      </c>
      <c r="G8" s="12">
        <v>2</v>
      </c>
      <c r="H8" s="12">
        <v>2</v>
      </c>
      <c r="I8" s="12">
        <v>2</v>
      </c>
      <c r="J8" s="12" t="s">
        <v>33</v>
      </c>
      <c r="K8" s="13">
        <f>IFERROR(VLOOKUP(J8,Pesos!$A$5:$B$10,2,FALSE),0)</f>
        <v>3</v>
      </c>
      <c r="L8" s="13">
        <f t="shared" si="0"/>
        <v>6</v>
      </c>
      <c r="M8" s="13">
        <f t="shared" si="1"/>
        <v>6</v>
      </c>
      <c r="N8" s="13">
        <f t="shared" si="2"/>
        <v>6</v>
      </c>
      <c r="O8" s="13">
        <f t="shared" si="3"/>
        <v>6</v>
      </c>
      <c r="P8" s="20" t="s">
        <v>77</v>
      </c>
    </row>
    <row r="9" spans="1:16" ht="26.4" customHeight="1" x14ac:dyDescent="0.3">
      <c r="A9" s="7" t="s">
        <v>78</v>
      </c>
      <c r="B9" s="9" t="s">
        <v>79</v>
      </c>
      <c r="C9" s="7" t="s">
        <v>80</v>
      </c>
      <c r="D9" s="7" t="s">
        <v>81</v>
      </c>
      <c r="E9" s="7" t="s">
        <v>82</v>
      </c>
      <c r="F9" s="12">
        <v>2</v>
      </c>
      <c r="G9" s="12">
        <v>2</v>
      </c>
      <c r="H9" s="12">
        <v>2</v>
      </c>
      <c r="I9" s="12">
        <v>2</v>
      </c>
      <c r="J9" s="12" t="s">
        <v>33</v>
      </c>
      <c r="K9" s="13">
        <f>IFERROR(VLOOKUP(J9,Pesos!$A$5:$B$10,2,FALSE),0)</f>
        <v>3</v>
      </c>
      <c r="L9" s="13">
        <f t="shared" si="0"/>
        <v>6</v>
      </c>
      <c r="M9" s="13">
        <f t="shared" si="1"/>
        <v>6</v>
      </c>
      <c r="N9" s="13">
        <f t="shared" si="2"/>
        <v>6</v>
      </c>
      <c r="O9" s="13">
        <f t="shared" si="3"/>
        <v>6</v>
      </c>
      <c r="P9" s="20" t="s">
        <v>83</v>
      </c>
    </row>
    <row r="10" spans="1:16" ht="39.6" customHeight="1" x14ac:dyDescent="0.3">
      <c r="A10" s="7" t="s">
        <v>78</v>
      </c>
      <c r="B10" s="9" t="s">
        <v>84</v>
      </c>
      <c r="C10" s="7" t="s">
        <v>85</v>
      </c>
      <c r="D10" s="7" t="s">
        <v>86</v>
      </c>
      <c r="E10" s="7" t="s">
        <v>87</v>
      </c>
      <c r="F10" s="12">
        <v>2</v>
      </c>
      <c r="G10" s="12">
        <v>1</v>
      </c>
      <c r="H10" s="12">
        <v>1</v>
      </c>
      <c r="I10" s="12">
        <v>2</v>
      </c>
      <c r="J10" s="12" t="s">
        <v>33</v>
      </c>
      <c r="K10" s="13">
        <f>IFERROR(VLOOKUP(J10,Pesos!$A$5:$B$10,2,FALSE),0)</f>
        <v>3</v>
      </c>
      <c r="L10" s="13">
        <f t="shared" si="0"/>
        <v>6</v>
      </c>
      <c r="M10" s="13">
        <f t="shared" si="1"/>
        <v>3</v>
      </c>
      <c r="N10" s="13">
        <f t="shared" si="2"/>
        <v>3</v>
      </c>
      <c r="O10" s="13">
        <f t="shared" si="3"/>
        <v>6</v>
      </c>
      <c r="P10" s="20" t="s">
        <v>88</v>
      </c>
    </row>
    <row r="11" spans="1:16" ht="26.4" customHeight="1" x14ac:dyDescent="0.3">
      <c r="A11" s="7" t="s">
        <v>78</v>
      </c>
      <c r="B11" s="9" t="s">
        <v>89</v>
      </c>
      <c r="C11" s="7" t="s">
        <v>90</v>
      </c>
      <c r="D11" s="7" t="s">
        <v>91</v>
      </c>
      <c r="E11" s="7" t="s">
        <v>92</v>
      </c>
      <c r="F11" s="12">
        <v>2</v>
      </c>
      <c r="G11" s="12">
        <v>2</v>
      </c>
      <c r="H11" s="12">
        <v>2</v>
      </c>
      <c r="I11" s="12">
        <v>1</v>
      </c>
      <c r="J11" s="12" t="s">
        <v>33</v>
      </c>
      <c r="K11" s="13">
        <f>IFERROR(VLOOKUP(J11,Pesos!$A$5:$B$10,2,FALSE),0)</f>
        <v>3</v>
      </c>
      <c r="L11" s="13">
        <f t="shared" si="0"/>
        <v>6</v>
      </c>
      <c r="M11" s="13">
        <f t="shared" si="1"/>
        <v>6</v>
      </c>
      <c r="N11" s="13">
        <f t="shared" si="2"/>
        <v>6</v>
      </c>
      <c r="O11" s="13">
        <f t="shared" si="3"/>
        <v>3</v>
      </c>
      <c r="P11" s="20" t="s">
        <v>93</v>
      </c>
    </row>
    <row r="12" spans="1:16" ht="39.6" customHeight="1" x14ac:dyDescent="0.3">
      <c r="A12" s="7" t="s">
        <v>78</v>
      </c>
      <c r="B12" s="9" t="s">
        <v>94</v>
      </c>
      <c r="C12" s="7" t="s">
        <v>95</v>
      </c>
      <c r="D12" s="7" t="s">
        <v>96</v>
      </c>
      <c r="E12" s="7" t="s">
        <v>97</v>
      </c>
      <c r="F12" s="12">
        <v>2</v>
      </c>
      <c r="G12" s="12">
        <v>1</v>
      </c>
      <c r="H12" s="12">
        <v>1</v>
      </c>
      <c r="I12" s="12">
        <v>1</v>
      </c>
      <c r="J12" s="12" t="s">
        <v>33</v>
      </c>
      <c r="K12" s="13">
        <f>IFERROR(VLOOKUP(J12,Pesos!$A$5:$B$10,2,FALSE),0)</f>
        <v>3</v>
      </c>
      <c r="L12" s="13">
        <f t="shared" si="0"/>
        <v>6</v>
      </c>
      <c r="M12" s="13">
        <f t="shared" si="1"/>
        <v>3</v>
      </c>
      <c r="N12" s="13">
        <f t="shared" si="2"/>
        <v>3</v>
      </c>
      <c r="O12" s="13">
        <f t="shared" si="3"/>
        <v>3</v>
      </c>
      <c r="P12" s="20" t="s">
        <v>98</v>
      </c>
    </row>
    <row r="13" spans="1:16" ht="26.4" customHeight="1" x14ac:dyDescent="0.3">
      <c r="A13" s="7" t="s">
        <v>99</v>
      </c>
      <c r="B13" s="9" t="s">
        <v>100</v>
      </c>
      <c r="C13" s="7" t="s">
        <v>101</v>
      </c>
      <c r="D13" s="7" t="s">
        <v>102</v>
      </c>
      <c r="E13" s="7" t="s">
        <v>103</v>
      </c>
      <c r="F13" s="12">
        <v>2</v>
      </c>
      <c r="G13" s="12">
        <v>2</v>
      </c>
      <c r="H13" s="12">
        <v>1</v>
      </c>
      <c r="I13" s="12">
        <v>2</v>
      </c>
      <c r="J13" s="12" t="s">
        <v>33</v>
      </c>
      <c r="K13" s="13">
        <f>IFERROR(VLOOKUP(J13,Pesos!$A$5:$B$10,2,FALSE),0)</f>
        <v>3</v>
      </c>
      <c r="L13" s="13">
        <f t="shared" si="0"/>
        <v>6</v>
      </c>
      <c r="M13" s="13">
        <f t="shared" si="1"/>
        <v>6</v>
      </c>
      <c r="N13" s="13">
        <f t="shared" si="2"/>
        <v>3</v>
      </c>
      <c r="O13" s="13">
        <f t="shared" si="3"/>
        <v>6</v>
      </c>
      <c r="P13" s="20" t="s">
        <v>104</v>
      </c>
    </row>
    <row r="14" spans="1:16" ht="26.4" customHeight="1" x14ac:dyDescent="0.3">
      <c r="A14" s="7" t="s">
        <v>99</v>
      </c>
      <c r="B14" s="9" t="s">
        <v>105</v>
      </c>
      <c r="C14" s="7" t="s">
        <v>106</v>
      </c>
      <c r="D14" s="7" t="s">
        <v>107</v>
      </c>
      <c r="E14" s="7" t="s">
        <v>108</v>
      </c>
      <c r="F14" s="12">
        <v>2</v>
      </c>
      <c r="G14" s="12">
        <v>1</v>
      </c>
      <c r="H14" s="12">
        <v>1</v>
      </c>
      <c r="I14" s="12">
        <v>1</v>
      </c>
      <c r="J14" s="12" t="s">
        <v>33</v>
      </c>
      <c r="K14" s="13">
        <f>IFERROR(VLOOKUP(J14,Pesos!$A$5:$B$10,2,FALSE),0)</f>
        <v>3</v>
      </c>
      <c r="L14" s="13">
        <f t="shared" si="0"/>
        <v>6</v>
      </c>
      <c r="M14" s="13">
        <f t="shared" si="1"/>
        <v>3</v>
      </c>
      <c r="N14" s="13">
        <f t="shared" si="2"/>
        <v>3</v>
      </c>
      <c r="O14" s="13">
        <f t="shared" si="3"/>
        <v>3</v>
      </c>
      <c r="P14" s="20" t="s">
        <v>109</v>
      </c>
    </row>
    <row r="15" spans="1:16" ht="26.4" customHeight="1" x14ac:dyDescent="0.3">
      <c r="A15" s="7" t="s">
        <v>99</v>
      </c>
      <c r="B15" s="9" t="s">
        <v>110</v>
      </c>
      <c r="C15" s="7" t="s">
        <v>111</v>
      </c>
      <c r="D15" s="7" t="s">
        <v>112</v>
      </c>
      <c r="E15" s="7" t="s">
        <v>113</v>
      </c>
      <c r="F15" s="12">
        <v>2</v>
      </c>
      <c r="G15" s="12">
        <v>2</v>
      </c>
      <c r="H15" s="12">
        <v>1</v>
      </c>
      <c r="I15" s="12">
        <v>2</v>
      </c>
      <c r="J15" s="12" t="s">
        <v>33</v>
      </c>
      <c r="K15" s="13">
        <f>IFERROR(VLOOKUP(J15,Pesos!$A$5:$B$10,2,FALSE),0)</f>
        <v>3</v>
      </c>
      <c r="L15" s="13">
        <f t="shared" si="0"/>
        <v>6</v>
      </c>
      <c r="M15" s="13">
        <f t="shared" si="1"/>
        <v>6</v>
      </c>
      <c r="N15" s="13">
        <f t="shared" si="2"/>
        <v>3</v>
      </c>
      <c r="O15" s="13">
        <f t="shared" si="3"/>
        <v>6</v>
      </c>
      <c r="P15" s="20" t="s">
        <v>114</v>
      </c>
    </row>
    <row r="16" spans="1:16" ht="26.4" customHeight="1" x14ac:dyDescent="0.3">
      <c r="A16" s="7" t="s">
        <v>99</v>
      </c>
      <c r="B16" s="9" t="s">
        <v>115</v>
      </c>
      <c r="C16" s="7" t="s">
        <v>116</v>
      </c>
      <c r="D16" s="7" t="s">
        <v>117</v>
      </c>
      <c r="E16" s="7" t="s">
        <v>118</v>
      </c>
      <c r="F16" s="12">
        <v>2</v>
      </c>
      <c r="G16" s="12">
        <v>2</v>
      </c>
      <c r="H16" s="12">
        <v>2</v>
      </c>
      <c r="I16" s="12">
        <v>2</v>
      </c>
      <c r="J16" s="12" t="s">
        <v>33</v>
      </c>
      <c r="K16" s="13">
        <f>IFERROR(VLOOKUP(J16,Pesos!$A$5:$B$10,2,FALSE),0)</f>
        <v>3</v>
      </c>
      <c r="L16" s="13">
        <f t="shared" si="0"/>
        <v>6</v>
      </c>
      <c r="M16" s="13">
        <f t="shared" si="1"/>
        <v>6</v>
      </c>
      <c r="N16" s="13">
        <f t="shared" si="2"/>
        <v>6</v>
      </c>
      <c r="O16" s="13">
        <f t="shared" si="3"/>
        <v>6</v>
      </c>
      <c r="P16" s="20" t="s">
        <v>119</v>
      </c>
    </row>
    <row r="17" spans="1:16" ht="26.4" customHeight="1" x14ac:dyDescent="0.3">
      <c r="A17" s="7" t="s">
        <v>120</v>
      </c>
      <c r="B17" s="9" t="s">
        <v>121</v>
      </c>
      <c r="C17" s="7" t="s">
        <v>122</v>
      </c>
      <c r="D17" s="7" t="s">
        <v>123</v>
      </c>
      <c r="E17" s="7" t="s">
        <v>124</v>
      </c>
      <c r="F17" s="12">
        <v>2</v>
      </c>
      <c r="G17" s="12">
        <v>2</v>
      </c>
      <c r="H17" s="12">
        <v>2</v>
      </c>
      <c r="I17" s="12">
        <v>1</v>
      </c>
      <c r="J17" s="12" t="s">
        <v>33</v>
      </c>
      <c r="K17" s="13">
        <f>IFERROR(VLOOKUP(J17,Pesos!$A$5:$B$10,2,FALSE),0)</f>
        <v>3</v>
      </c>
      <c r="L17" s="13">
        <f t="shared" si="0"/>
        <v>6</v>
      </c>
      <c r="M17" s="13">
        <f t="shared" si="1"/>
        <v>6</v>
      </c>
      <c r="N17" s="13">
        <f t="shared" si="2"/>
        <v>6</v>
      </c>
      <c r="O17" s="13">
        <f t="shared" si="3"/>
        <v>3</v>
      </c>
      <c r="P17" s="20" t="s">
        <v>125</v>
      </c>
    </row>
    <row r="18" spans="1:16" ht="26.4" customHeight="1" x14ac:dyDescent="0.3">
      <c r="A18" s="7" t="s">
        <v>120</v>
      </c>
      <c r="B18" s="9" t="s">
        <v>126</v>
      </c>
      <c r="C18" s="7" t="s">
        <v>127</v>
      </c>
      <c r="D18" s="7" t="s">
        <v>128</v>
      </c>
      <c r="E18" s="7" t="s">
        <v>129</v>
      </c>
      <c r="F18" s="12">
        <v>1</v>
      </c>
      <c r="G18" s="12">
        <v>1</v>
      </c>
      <c r="H18" s="12">
        <v>1</v>
      </c>
      <c r="I18" s="12">
        <v>1</v>
      </c>
      <c r="J18" s="12" t="s">
        <v>33</v>
      </c>
      <c r="K18" s="13">
        <f>IFERROR(VLOOKUP(J18,Pesos!$A$5:$B$10,2,FALSE),0)</f>
        <v>3</v>
      </c>
      <c r="L18" s="13">
        <f t="shared" si="0"/>
        <v>3</v>
      </c>
      <c r="M18" s="13">
        <f t="shared" si="1"/>
        <v>3</v>
      </c>
      <c r="N18" s="13">
        <f t="shared" si="2"/>
        <v>3</v>
      </c>
      <c r="O18" s="13">
        <f t="shared" si="3"/>
        <v>3</v>
      </c>
      <c r="P18" s="20" t="s">
        <v>130</v>
      </c>
    </row>
    <row r="19" spans="1:16" ht="26.4" customHeight="1" x14ac:dyDescent="0.3">
      <c r="A19" s="7" t="s">
        <v>120</v>
      </c>
      <c r="B19" s="9" t="s">
        <v>131</v>
      </c>
      <c r="C19" s="7" t="s">
        <v>132</v>
      </c>
      <c r="D19" s="7" t="s">
        <v>133</v>
      </c>
      <c r="E19" s="7" t="s">
        <v>134</v>
      </c>
      <c r="F19" s="12">
        <v>2</v>
      </c>
      <c r="G19" s="12">
        <v>2</v>
      </c>
      <c r="H19" s="12">
        <v>2</v>
      </c>
      <c r="I19" s="12">
        <v>2</v>
      </c>
      <c r="J19" s="12" t="s">
        <v>33</v>
      </c>
      <c r="K19" s="13">
        <f>IFERROR(VLOOKUP(J19,Pesos!$A$5:$B$10,2,FALSE),0)</f>
        <v>3</v>
      </c>
      <c r="L19" s="13">
        <f t="shared" si="0"/>
        <v>6</v>
      </c>
      <c r="M19" s="13">
        <f t="shared" si="1"/>
        <v>6</v>
      </c>
      <c r="N19" s="13">
        <f t="shared" si="2"/>
        <v>6</v>
      </c>
      <c r="O19" s="13">
        <f t="shared" si="3"/>
        <v>6</v>
      </c>
      <c r="P19" s="20" t="s">
        <v>135</v>
      </c>
    </row>
    <row r="20" spans="1:16" ht="39.6" customHeight="1" x14ac:dyDescent="0.3">
      <c r="A20" s="7" t="s">
        <v>120</v>
      </c>
      <c r="B20" s="9" t="s">
        <v>136</v>
      </c>
      <c r="C20" s="7" t="s">
        <v>137</v>
      </c>
      <c r="D20" s="7" t="s">
        <v>138</v>
      </c>
      <c r="E20" s="7" t="s">
        <v>139</v>
      </c>
      <c r="F20" s="12">
        <v>2</v>
      </c>
      <c r="G20" s="12">
        <v>2</v>
      </c>
      <c r="H20" s="12">
        <v>2</v>
      </c>
      <c r="I20" s="12">
        <v>2</v>
      </c>
      <c r="J20" s="12" t="s">
        <v>33</v>
      </c>
      <c r="K20" s="13">
        <f>IFERROR(VLOOKUP(J20,Pesos!$A$5:$B$10,2,FALSE),0)</f>
        <v>3</v>
      </c>
      <c r="L20" s="13">
        <f t="shared" si="0"/>
        <v>6</v>
      </c>
      <c r="M20" s="13">
        <f t="shared" si="1"/>
        <v>6</v>
      </c>
      <c r="N20" s="13">
        <f t="shared" si="2"/>
        <v>6</v>
      </c>
      <c r="O20" s="13">
        <f t="shared" si="3"/>
        <v>6</v>
      </c>
      <c r="P20" s="20" t="s">
        <v>140</v>
      </c>
    </row>
    <row r="22" spans="1:16" x14ac:dyDescent="0.3">
      <c r="B22" s="14" t="s">
        <v>141</v>
      </c>
      <c r="F22" s="15">
        <f>SUM(F5:F20)</f>
        <v>30</v>
      </c>
      <c r="G22" s="15">
        <f>SUM(G5:G20)</f>
        <v>27</v>
      </c>
      <c r="H22" s="15">
        <f>SUM(H5:H20)</f>
        <v>25</v>
      </c>
      <c r="I22" s="15">
        <f>SUM(I5:I20)</f>
        <v>26</v>
      </c>
      <c r="K22" s="2" t="s">
        <v>142</v>
      </c>
      <c r="L22" s="15">
        <f>SUM(L5:L20)</f>
        <v>90</v>
      </c>
      <c r="M22" s="15">
        <f>SUM(M5:M20)</f>
        <v>81</v>
      </c>
      <c r="N22" s="15">
        <f>SUM(N5:N20)</f>
        <v>75</v>
      </c>
      <c r="O22" s="15">
        <f>SUM(O5:O20)</f>
        <v>78</v>
      </c>
    </row>
    <row r="23" spans="1:16" ht="26.4" customHeight="1" x14ac:dyDescent="0.3">
      <c r="B23" s="16" t="s">
        <v>143</v>
      </c>
      <c r="F23" s="17">
        <f>COUNTIFS($J$5:$J$20,"Crítico",F5:F20,"&lt;2")+COUNTIFS($J$5:$J$20,"Relevante",F5:F20,"&lt;1")</f>
        <v>2</v>
      </c>
      <c r="G23" s="17">
        <f>COUNTIFS($J$5:$J$20,"Crítico",G5:G20,"&lt;2")+COUNTIFS($J$5:$J$20,"Relevante",G5:G20,"&lt;1")</f>
        <v>5</v>
      </c>
      <c r="H23" s="17">
        <f>COUNTIFS($J$5:$J$20,"Crítico",H5:H20,"&lt;2")+COUNTIFS($J$5:$J$20,"Relevante",H5:H20,"&lt;1")</f>
        <v>7</v>
      </c>
      <c r="I23" s="17">
        <f>COUNTIFS($J$5:$J$20,"Crítico",I5:I20,"&lt;2")+COUNTIFS($J$5:$J$20,"Relevante",I5:I20,"&lt;1")</f>
        <v>6</v>
      </c>
      <c r="J23" s="2" t="s">
        <v>144</v>
      </c>
    </row>
    <row r="24" spans="1:16" x14ac:dyDescent="0.3">
      <c r="B24" s="18" t="s">
        <v>145</v>
      </c>
    </row>
    <row r="25" spans="1:16" x14ac:dyDescent="0.3">
      <c r="B25" s="3" t="s">
        <v>57</v>
      </c>
      <c r="F25" s="17">
        <f t="shared" ref="F25:I28" si="4">SUMIF($A$5:$A$20,$B25,F$5:F$20)</f>
        <v>7</v>
      </c>
      <c r="G25" s="17">
        <f t="shared" si="4"/>
        <v>7</v>
      </c>
      <c r="H25" s="17">
        <f t="shared" si="4"/>
        <v>7</v>
      </c>
      <c r="I25" s="17">
        <f t="shared" si="4"/>
        <v>7</v>
      </c>
    </row>
    <row r="26" spans="1:16" x14ac:dyDescent="0.3">
      <c r="B26" s="3" t="s">
        <v>78</v>
      </c>
      <c r="F26" s="17">
        <f t="shared" si="4"/>
        <v>8</v>
      </c>
      <c r="G26" s="17">
        <f t="shared" si="4"/>
        <v>6</v>
      </c>
      <c r="H26" s="17">
        <f t="shared" si="4"/>
        <v>6</v>
      </c>
      <c r="I26" s="17">
        <f t="shared" si="4"/>
        <v>6</v>
      </c>
    </row>
    <row r="27" spans="1:16" x14ac:dyDescent="0.3">
      <c r="B27" s="3" t="s">
        <v>99</v>
      </c>
      <c r="F27" s="17">
        <f t="shared" si="4"/>
        <v>8</v>
      </c>
      <c r="G27" s="17">
        <f t="shared" si="4"/>
        <v>7</v>
      </c>
      <c r="H27" s="17">
        <f t="shared" si="4"/>
        <v>5</v>
      </c>
      <c r="I27" s="17">
        <f t="shared" si="4"/>
        <v>7</v>
      </c>
    </row>
    <row r="28" spans="1:16" x14ac:dyDescent="0.3">
      <c r="B28" s="3" t="s">
        <v>120</v>
      </c>
      <c r="F28" s="17">
        <f t="shared" si="4"/>
        <v>7</v>
      </c>
      <c r="G28" s="17">
        <f t="shared" si="4"/>
        <v>7</v>
      </c>
      <c r="H28" s="17">
        <f t="shared" si="4"/>
        <v>7</v>
      </c>
      <c r="I28" s="17">
        <f t="shared" si="4"/>
        <v>6</v>
      </c>
    </row>
  </sheetData>
  <dataValidations count="2">
    <dataValidation type="whole" sqref="F5 F6 F7 F8 F9 F10 F11 F12 F13 F14 F15 F16 F17 F18 F19 F20 G5 G6 G7 G8 G9 G10 G11 G12 G13 G14 G15 G16 G17 G18 G19 G20 H5 H6 H7 H8 H9 H10 H11 H12 H13 H14 H15 H16 H17 H18 H19 H20 I5 I6 I7 I8 I9 I10 I11 I12 I13 I14 I15 I16 I17 I18 I19 I20" xr:uid="{00000000-0002-0000-0200-000000000000}">
      <formula1>0</formula1>
      <formula2>2</formula2>
    </dataValidation>
    <dataValidation type="list" sqref="J5 J6 J7 J8 J9 J10 J11 J12 J13 J14 J15 J16 J17 J18 J19 J20" xr:uid="{00000000-0002-0000-0200-000001000000}">
      <formula1>"Crítico,Relevante,No relevante"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FB3"/>
  </sheetPr>
  <dimension ref="A1:P15"/>
  <sheetViews>
    <sheetView showGridLines="0" workbookViewId="0">
      <pane xSplit="2" ySplit="4" topLeftCell="C5" activePane="bottomRight" state="frozen"/>
      <selection pane="topRight"/>
      <selection pane="bottomLeft"/>
      <selection pane="bottomRight"/>
    </sheetView>
  </sheetViews>
  <sheetFormatPr baseColWidth="10" defaultColWidth="8.88671875" defaultRowHeight="14.4" x14ac:dyDescent="0.3"/>
  <cols>
    <col min="1" max="1" width="8" customWidth="1"/>
    <col min="2" max="2" width="28" customWidth="1"/>
    <col min="3" max="3" width="30" customWidth="1"/>
    <col min="4" max="4" width="24" customWidth="1"/>
    <col min="5" max="5" width="28" customWidth="1"/>
    <col min="6" max="6" width="30" customWidth="1"/>
    <col min="7" max="10" width="7" customWidth="1"/>
    <col min="11" max="11" width="13" customWidth="1"/>
    <col min="12" max="12" width="7" customWidth="1"/>
    <col min="13" max="16" width="9" customWidth="1"/>
  </cols>
  <sheetData>
    <row r="1" spans="1:16" ht="17.399999999999999" customHeight="1" x14ac:dyDescent="0.3">
      <c r="A1" s="1" t="s">
        <v>146</v>
      </c>
    </row>
    <row r="2" spans="1:16" x14ac:dyDescent="0.3">
      <c r="A2" s="2" t="s">
        <v>147</v>
      </c>
    </row>
    <row r="3" spans="1:16" ht="25.95" customHeight="1" x14ac:dyDescent="0.3">
      <c r="A3" s="5" t="s">
        <v>20</v>
      </c>
      <c r="B3" s="5" t="s">
        <v>20</v>
      </c>
      <c r="C3" s="21" t="s">
        <v>22</v>
      </c>
      <c r="D3" s="5" t="s">
        <v>20</v>
      </c>
      <c r="E3" s="5" t="s">
        <v>20</v>
      </c>
      <c r="F3" s="5" t="s">
        <v>20</v>
      </c>
      <c r="G3" s="5" t="s">
        <v>20</v>
      </c>
      <c r="H3" s="5" t="s">
        <v>20</v>
      </c>
      <c r="I3" s="5" t="s">
        <v>20</v>
      </c>
      <c r="J3" s="5" t="s">
        <v>20</v>
      </c>
      <c r="K3" s="5" t="s">
        <v>20</v>
      </c>
      <c r="L3" s="11" t="s">
        <v>26</v>
      </c>
      <c r="M3" s="11" t="s">
        <v>26</v>
      </c>
      <c r="N3" s="11" t="s">
        <v>26</v>
      </c>
      <c r="O3" s="11" t="s">
        <v>26</v>
      </c>
      <c r="P3" s="11" t="s">
        <v>26</v>
      </c>
    </row>
    <row r="4" spans="1:16" ht="30" customHeight="1" x14ac:dyDescent="0.3">
      <c r="A4" s="6" t="s">
        <v>148</v>
      </c>
      <c r="B4" s="6" t="s">
        <v>43</v>
      </c>
      <c r="C4" s="6" t="s">
        <v>149</v>
      </c>
      <c r="D4" s="6" t="s">
        <v>44</v>
      </c>
      <c r="E4" s="6" t="s">
        <v>45</v>
      </c>
      <c r="F4" s="6" t="s">
        <v>46</v>
      </c>
      <c r="G4" s="6" t="s">
        <v>47</v>
      </c>
      <c r="H4" s="6" t="s">
        <v>48</v>
      </c>
      <c r="I4" s="6" t="s">
        <v>49</v>
      </c>
      <c r="J4" s="6" t="s">
        <v>50</v>
      </c>
      <c r="K4" s="6" t="s">
        <v>30</v>
      </c>
      <c r="L4" s="6" t="s">
        <v>31</v>
      </c>
      <c r="M4" s="6" t="s">
        <v>52</v>
      </c>
      <c r="N4" s="6" t="s">
        <v>53</v>
      </c>
      <c r="O4" s="6" t="s">
        <v>54</v>
      </c>
      <c r="P4" s="6" t="s">
        <v>55</v>
      </c>
    </row>
    <row r="5" spans="1:16" ht="39.6" customHeight="1" x14ac:dyDescent="0.3">
      <c r="A5" s="22" t="s">
        <v>150</v>
      </c>
      <c r="B5" s="22" t="s">
        <v>151</v>
      </c>
      <c r="C5" s="23" t="s">
        <v>152</v>
      </c>
      <c r="D5" s="8" t="s">
        <v>153</v>
      </c>
      <c r="E5" s="8" t="s">
        <v>154</v>
      </c>
      <c r="F5" s="8" t="s">
        <v>155</v>
      </c>
      <c r="G5" s="12">
        <v>2</v>
      </c>
      <c r="H5" s="12">
        <v>2</v>
      </c>
      <c r="I5" s="12">
        <v>2</v>
      </c>
      <c r="J5" s="12">
        <v>1</v>
      </c>
      <c r="K5" s="12" t="s">
        <v>37</v>
      </c>
      <c r="L5" s="13">
        <f>IFERROR(VLOOKUP(K5,Pesos!$A$5:$B$10,2,FALSE),0)</f>
        <v>3</v>
      </c>
      <c r="M5" s="13">
        <f t="shared" ref="M5:P12" si="0">G5*$L5</f>
        <v>6</v>
      </c>
      <c r="N5" s="13">
        <f t="shared" si="0"/>
        <v>6</v>
      </c>
      <c r="O5" s="13">
        <f t="shared" si="0"/>
        <v>6</v>
      </c>
      <c r="P5" s="13">
        <f t="shared" si="0"/>
        <v>3</v>
      </c>
    </row>
    <row r="6" spans="1:16" ht="66" customHeight="1" x14ac:dyDescent="0.3">
      <c r="A6" s="22" t="s">
        <v>156</v>
      </c>
      <c r="B6" s="22" t="s">
        <v>157</v>
      </c>
      <c r="C6" s="23" t="s">
        <v>158</v>
      </c>
      <c r="D6" s="8" t="s">
        <v>159</v>
      </c>
      <c r="E6" s="8" t="s">
        <v>160</v>
      </c>
      <c r="F6" s="8" t="s">
        <v>161</v>
      </c>
      <c r="G6" s="12">
        <v>1</v>
      </c>
      <c r="H6" s="12">
        <v>2</v>
      </c>
      <c r="I6" s="12">
        <v>2</v>
      </c>
      <c r="J6" s="12">
        <v>1</v>
      </c>
      <c r="K6" s="12" t="s">
        <v>37</v>
      </c>
      <c r="L6" s="13">
        <f>IFERROR(VLOOKUP(K6,Pesos!$A$5:$B$10,2,FALSE),0)</f>
        <v>3</v>
      </c>
      <c r="M6" s="13">
        <f t="shared" si="0"/>
        <v>3</v>
      </c>
      <c r="N6" s="13">
        <f t="shared" si="0"/>
        <v>6</v>
      </c>
      <c r="O6" s="13">
        <f t="shared" si="0"/>
        <v>6</v>
      </c>
      <c r="P6" s="13">
        <f t="shared" si="0"/>
        <v>3</v>
      </c>
    </row>
    <row r="7" spans="1:16" ht="39.6" customHeight="1" x14ac:dyDescent="0.3">
      <c r="A7" s="22" t="s">
        <v>162</v>
      </c>
      <c r="B7" s="22" t="s">
        <v>163</v>
      </c>
      <c r="C7" s="23" t="s">
        <v>164</v>
      </c>
      <c r="D7" s="8" t="s">
        <v>165</v>
      </c>
      <c r="E7" s="8" t="s">
        <v>166</v>
      </c>
      <c r="F7" s="8" t="s">
        <v>167</v>
      </c>
      <c r="G7" s="12">
        <v>1</v>
      </c>
      <c r="H7" s="12">
        <v>2</v>
      </c>
      <c r="I7" s="12">
        <v>1</v>
      </c>
      <c r="J7" s="12">
        <v>1</v>
      </c>
      <c r="K7" s="12" t="s">
        <v>37</v>
      </c>
      <c r="L7" s="13">
        <f>IFERROR(VLOOKUP(K7,Pesos!$A$5:$B$10,2,FALSE),0)</f>
        <v>3</v>
      </c>
      <c r="M7" s="13">
        <f t="shared" si="0"/>
        <v>3</v>
      </c>
      <c r="N7" s="13">
        <f t="shared" si="0"/>
        <v>6</v>
      </c>
      <c r="O7" s="13">
        <f t="shared" si="0"/>
        <v>3</v>
      </c>
      <c r="P7" s="13">
        <f t="shared" si="0"/>
        <v>3</v>
      </c>
    </row>
    <row r="8" spans="1:16" ht="39.6" customHeight="1" x14ac:dyDescent="0.3">
      <c r="A8" s="22" t="s">
        <v>168</v>
      </c>
      <c r="B8" s="22" t="s">
        <v>169</v>
      </c>
      <c r="C8" s="23" t="s">
        <v>170</v>
      </c>
      <c r="D8" s="8" t="s">
        <v>171</v>
      </c>
      <c r="E8" s="8" t="s">
        <v>172</v>
      </c>
      <c r="F8" s="8" t="s">
        <v>173</v>
      </c>
      <c r="G8" s="12">
        <v>0</v>
      </c>
      <c r="H8" s="12">
        <v>2</v>
      </c>
      <c r="I8" s="12">
        <v>1</v>
      </c>
      <c r="J8" s="12">
        <v>0</v>
      </c>
      <c r="K8" s="12" t="s">
        <v>37</v>
      </c>
      <c r="L8" s="13">
        <f>IFERROR(VLOOKUP(K8,Pesos!$A$5:$B$10,2,FALSE),0)</f>
        <v>3</v>
      </c>
      <c r="M8" s="13">
        <f t="shared" si="0"/>
        <v>0</v>
      </c>
      <c r="N8" s="13">
        <f t="shared" si="0"/>
        <v>6</v>
      </c>
      <c r="O8" s="13">
        <f t="shared" si="0"/>
        <v>3</v>
      </c>
      <c r="P8" s="13">
        <f t="shared" si="0"/>
        <v>0</v>
      </c>
    </row>
    <row r="9" spans="1:16" ht="39.6" customHeight="1" x14ac:dyDescent="0.3">
      <c r="A9" s="22" t="s">
        <v>174</v>
      </c>
      <c r="B9" s="22" t="s">
        <v>175</v>
      </c>
      <c r="C9" s="23" t="s">
        <v>176</v>
      </c>
      <c r="D9" s="8" t="s">
        <v>177</v>
      </c>
      <c r="E9" s="8" t="s">
        <v>178</v>
      </c>
      <c r="F9" s="8" t="s">
        <v>179</v>
      </c>
      <c r="G9" s="12">
        <v>1</v>
      </c>
      <c r="H9" s="12">
        <v>2</v>
      </c>
      <c r="I9" s="12">
        <v>2</v>
      </c>
      <c r="J9" s="12">
        <v>2</v>
      </c>
      <c r="K9" s="12" t="s">
        <v>37</v>
      </c>
      <c r="L9" s="13">
        <f>IFERROR(VLOOKUP(K9,Pesos!$A$5:$B$10,2,FALSE),0)</f>
        <v>3</v>
      </c>
      <c r="M9" s="13">
        <f t="shared" si="0"/>
        <v>3</v>
      </c>
      <c r="N9" s="13">
        <f t="shared" si="0"/>
        <v>6</v>
      </c>
      <c r="O9" s="13">
        <f t="shared" si="0"/>
        <v>6</v>
      </c>
      <c r="P9" s="13">
        <f t="shared" si="0"/>
        <v>6</v>
      </c>
    </row>
    <row r="10" spans="1:16" ht="52.8" customHeight="1" x14ac:dyDescent="0.3">
      <c r="A10" s="22" t="s">
        <v>180</v>
      </c>
      <c r="B10" s="22" t="s">
        <v>181</v>
      </c>
      <c r="C10" s="23" t="s">
        <v>182</v>
      </c>
      <c r="D10" s="8" t="s">
        <v>183</v>
      </c>
      <c r="E10" s="8" t="s">
        <v>184</v>
      </c>
      <c r="F10" s="8" t="s">
        <v>185</v>
      </c>
      <c r="G10" s="12">
        <v>1</v>
      </c>
      <c r="H10" s="12">
        <v>2</v>
      </c>
      <c r="I10" s="12">
        <v>2</v>
      </c>
      <c r="J10" s="12">
        <v>2</v>
      </c>
      <c r="K10" s="12" t="s">
        <v>37</v>
      </c>
      <c r="L10" s="13">
        <f>IFERROR(VLOOKUP(K10,Pesos!$A$5:$B$10,2,FALSE),0)</f>
        <v>3</v>
      </c>
      <c r="M10" s="13">
        <f t="shared" si="0"/>
        <v>3</v>
      </c>
      <c r="N10" s="13">
        <f t="shared" si="0"/>
        <v>6</v>
      </c>
      <c r="O10" s="13">
        <f t="shared" si="0"/>
        <v>6</v>
      </c>
      <c r="P10" s="13">
        <f t="shared" si="0"/>
        <v>6</v>
      </c>
    </row>
    <row r="11" spans="1:16" ht="52.8" customHeight="1" x14ac:dyDescent="0.3">
      <c r="A11" s="22" t="s">
        <v>186</v>
      </c>
      <c r="B11" s="22" t="s">
        <v>187</v>
      </c>
      <c r="C11" s="23" t="s">
        <v>188</v>
      </c>
      <c r="D11" s="8" t="s">
        <v>189</v>
      </c>
      <c r="E11" s="8" t="s">
        <v>190</v>
      </c>
      <c r="F11" s="8" t="s">
        <v>191</v>
      </c>
      <c r="G11" s="12">
        <v>2</v>
      </c>
      <c r="H11" s="12">
        <v>1</v>
      </c>
      <c r="I11" s="12">
        <v>1</v>
      </c>
      <c r="J11" s="12">
        <v>2</v>
      </c>
      <c r="K11" s="12" t="s">
        <v>37</v>
      </c>
      <c r="L11" s="13">
        <f>IFERROR(VLOOKUP(K11,Pesos!$A$5:$B$10,2,FALSE),0)</f>
        <v>3</v>
      </c>
      <c r="M11" s="13">
        <f t="shared" si="0"/>
        <v>6</v>
      </c>
      <c r="N11" s="13">
        <f t="shared" si="0"/>
        <v>3</v>
      </c>
      <c r="O11" s="13">
        <f t="shared" si="0"/>
        <v>3</v>
      </c>
      <c r="P11" s="13">
        <f t="shared" si="0"/>
        <v>6</v>
      </c>
    </row>
    <row r="12" spans="1:16" ht="39.6" customHeight="1" x14ac:dyDescent="0.3">
      <c r="A12" s="22" t="s">
        <v>192</v>
      </c>
      <c r="B12" s="22" t="s">
        <v>193</v>
      </c>
      <c r="C12" s="23" t="s">
        <v>194</v>
      </c>
      <c r="D12" s="8" t="s">
        <v>195</v>
      </c>
      <c r="E12" s="8" t="s">
        <v>196</v>
      </c>
      <c r="F12" s="8" t="s">
        <v>197</v>
      </c>
      <c r="G12" s="12">
        <v>1</v>
      </c>
      <c r="H12" s="12">
        <v>1</v>
      </c>
      <c r="I12" s="12">
        <v>2</v>
      </c>
      <c r="J12" s="12">
        <v>2</v>
      </c>
      <c r="K12" s="12" t="s">
        <v>37</v>
      </c>
      <c r="L12" s="13">
        <f>IFERROR(VLOOKUP(K12,Pesos!$A$5:$B$10,2,FALSE),0)</f>
        <v>3</v>
      </c>
      <c r="M12" s="13">
        <f t="shared" si="0"/>
        <v>3</v>
      </c>
      <c r="N12" s="13">
        <f t="shared" si="0"/>
        <v>3</v>
      </c>
      <c r="O12" s="13">
        <f t="shared" si="0"/>
        <v>6</v>
      </c>
      <c r="P12" s="13">
        <f t="shared" si="0"/>
        <v>6</v>
      </c>
    </row>
    <row r="14" spans="1:16" x14ac:dyDescent="0.3">
      <c r="B14" s="14" t="s">
        <v>198</v>
      </c>
      <c r="G14" s="15">
        <f>SUM(G5:G12)</f>
        <v>9</v>
      </c>
      <c r="H14" s="15">
        <f>SUM(H5:H12)</f>
        <v>14</v>
      </c>
      <c r="I14" s="15">
        <f>SUM(I5:I12)</f>
        <v>13</v>
      </c>
      <c r="J14" s="15">
        <f>SUM(J5:J12)</f>
        <v>11</v>
      </c>
      <c r="L14" s="2" t="s">
        <v>142</v>
      </c>
      <c r="M14" s="15">
        <f>SUM(M5:M12)</f>
        <v>27</v>
      </c>
      <c r="N14" s="15">
        <f>SUM(N5:N12)</f>
        <v>42</v>
      </c>
      <c r="O14" s="15">
        <f>SUM(O5:O12)</f>
        <v>39</v>
      </c>
      <c r="P14" s="15">
        <f>SUM(P5:P12)</f>
        <v>33</v>
      </c>
    </row>
    <row r="15" spans="1:16" ht="26.4" customHeight="1" x14ac:dyDescent="0.3">
      <c r="B15" s="16" t="s">
        <v>199</v>
      </c>
      <c r="G15" s="17">
        <f>COUNTIFS($K$5:$K$12,"Requerida",G5:G12,0)</f>
        <v>1</v>
      </c>
      <c r="H15" s="17">
        <f>COUNTIFS($K$5:$K$12,"Requerida",H5:H12,0)</f>
        <v>0</v>
      </c>
      <c r="I15" s="17">
        <f>COUNTIFS($K$5:$K$12,"Requerida",I5:I12,0)</f>
        <v>0</v>
      </c>
      <c r="J15" s="17">
        <f>COUNTIFS($K$5:$K$12,"Requerida",J5:J12,0)</f>
        <v>1</v>
      </c>
    </row>
  </sheetData>
  <dataValidations count="2">
    <dataValidation type="whole" sqref="G5 G6 G7 G8 G9 G10 G11 G12 H5 H6 H7 H8 H9 H10 H11 H12 I5 I6 I7 I8 I9 I10 I11 I12 J5 J6 J7 J8 J9 J10 J11 J12" xr:uid="{00000000-0002-0000-0300-000000000000}">
      <formula1>0</formula1>
      <formula2>2</formula2>
    </dataValidation>
    <dataValidation type="list" sqref="K5 K6 K7 K8 K9 K10 K11 K12" xr:uid="{00000000-0002-0000-0300-000001000000}">
      <formula1>"Requerida,Opcional,No requerida"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FB3"/>
  </sheetPr>
  <dimension ref="A1:J24"/>
  <sheetViews>
    <sheetView showGridLines="0" workbookViewId="0"/>
  </sheetViews>
  <sheetFormatPr baseColWidth="10" defaultColWidth="8.88671875" defaultRowHeight="14.4" x14ac:dyDescent="0.3"/>
  <cols>
    <col min="1" max="1" width="46" customWidth="1"/>
    <col min="2" max="5" width="11" customWidth="1"/>
    <col min="6" max="6" width="14" customWidth="1"/>
    <col min="8" max="10" width="11" customWidth="1"/>
  </cols>
  <sheetData>
    <row r="1" spans="1:10" ht="17.399999999999999" customHeight="1" x14ac:dyDescent="0.3">
      <c r="A1" s="1" t="s">
        <v>200</v>
      </c>
    </row>
    <row r="2" spans="1:10" x14ac:dyDescent="0.3">
      <c r="A2" s="2" t="s">
        <v>201</v>
      </c>
    </row>
    <row r="4" spans="1:10" ht="30" customHeight="1" x14ac:dyDescent="0.3">
      <c r="A4" s="6" t="s">
        <v>202</v>
      </c>
      <c r="B4" s="6" t="s">
        <v>47</v>
      </c>
      <c r="C4" s="6" t="s">
        <v>48</v>
      </c>
      <c r="D4" s="6" t="s">
        <v>49</v>
      </c>
      <c r="E4" s="6" t="s">
        <v>50</v>
      </c>
      <c r="F4" s="6" t="s">
        <v>203</v>
      </c>
    </row>
    <row r="5" spans="1:10" x14ac:dyDescent="0.3">
      <c r="A5" s="16" t="s">
        <v>204</v>
      </c>
      <c r="B5" s="24">
        <f>'2.0 Madurez'!F22</f>
        <v>30</v>
      </c>
      <c r="C5" s="24">
        <f>'2.0 Madurez'!G22</f>
        <v>27</v>
      </c>
      <c r="D5" s="24">
        <f>'2.0 Madurez'!H22</f>
        <v>25</v>
      </c>
      <c r="E5" s="24">
        <f>'2.0 Madurez'!I22</f>
        <v>26</v>
      </c>
      <c r="F5" s="25" t="str">
        <f>INDEX($B$4:$E$4,MATCH(MAX(B5:E5),B5:E5,0))</f>
        <v>Hudi</v>
      </c>
    </row>
    <row r="6" spans="1:10" x14ac:dyDescent="0.3">
      <c r="A6" s="16" t="s">
        <v>205</v>
      </c>
      <c r="B6" s="24">
        <f>'2.0 Funcional'!G14</f>
        <v>9</v>
      </c>
      <c r="C6" s="24">
        <f>'2.0 Funcional'!H14</f>
        <v>14</v>
      </c>
      <c r="D6" s="24">
        <f>'2.0 Funcional'!I14</f>
        <v>13</v>
      </c>
      <c r="E6" s="24">
        <f>'2.0 Funcional'!J14</f>
        <v>11</v>
      </c>
      <c r="F6" s="25" t="str">
        <f>INDEX($B$4:$E$4,MATCH(MAX(B6:E6),B6:E6,0))</f>
        <v>Iceberg</v>
      </c>
    </row>
    <row r="7" spans="1:10" x14ac:dyDescent="0.3">
      <c r="A7" s="16" t="s">
        <v>206</v>
      </c>
      <c r="B7" s="24">
        <f>'2.0 Madurez'!L22</f>
        <v>90</v>
      </c>
      <c r="C7" s="24">
        <f>'2.0 Madurez'!M22</f>
        <v>81</v>
      </c>
      <c r="D7" s="24">
        <f>'2.0 Madurez'!N22</f>
        <v>75</v>
      </c>
      <c r="E7" s="24">
        <f>'2.0 Madurez'!O22</f>
        <v>78</v>
      </c>
    </row>
    <row r="8" spans="1:10" x14ac:dyDescent="0.3">
      <c r="A8" s="16" t="s">
        <v>207</v>
      </c>
      <c r="B8" s="24">
        <f>'2.0 Funcional'!M14</f>
        <v>27</v>
      </c>
      <c r="C8" s="24">
        <f>'2.0 Funcional'!N14</f>
        <v>42</v>
      </c>
      <c r="D8" s="24">
        <f>'2.0 Funcional'!O14</f>
        <v>39</v>
      </c>
      <c r="E8" s="24">
        <f>'2.0 Funcional'!P14</f>
        <v>33</v>
      </c>
    </row>
    <row r="9" spans="1:10" x14ac:dyDescent="0.3">
      <c r="A9" s="14" t="s">
        <v>208</v>
      </c>
      <c r="B9" s="15">
        <f>B7+B8</f>
        <v>117</v>
      </c>
      <c r="C9" s="15">
        <f>C7+C8</f>
        <v>123</v>
      </c>
      <c r="D9" s="15">
        <f>D7+D8</f>
        <v>114</v>
      </c>
      <c r="E9" s="15">
        <f>E7+E8</f>
        <v>111</v>
      </c>
      <c r="F9" s="25" t="str">
        <f>INDEX($B$4:$E$4,MATCH(MAX(B9:E9),B9:E9,0))</f>
        <v>Iceberg</v>
      </c>
    </row>
    <row r="10" spans="1:10" x14ac:dyDescent="0.3">
      <c r="A10" s="16" t="s">
        <v>209</v>
      </c>
      <c r="B10" s="17">
        <f>RANK(B9,$B$9:$E$9)</f>
        <v>2</v>
      </c>
      <c r="C10" s="17">
        <f>RANK(C9,$B$9:$E$9)</f>
        <v>1</v>
      </c>
      <c r="D10" s="17">
        <f>RANK(D9,$B$9:$E$9)</f>
        <v>3</v>
      </c>
      <c r="E10" s="17">
        <f>RANK(E9,$B$9:$E$9)</f>
        <v>4</v>
      </c>
    </row>
    <row r="11" spans="1:10" x14ac:dyDescent="0.3">
      <c r="A11" s="16" t="s">
        <v>210</v>
      </c>
      <c r="B11" s="17" t="str">
        <f>IF('2.0 Madurez'!F23+'2.0 Funcional'!G15=0,"Pasa","Eliminada")</f>
        <v>Eliminada</v>
      </c>
      <c r="C11" s="17" t="str">
        <f>IF('2.0 Madurez'!G23+'2.0 Funcional'!H15=0,"Pasa","Eliminada")</f>
        <v>Eliminada</v>
      </c>
      <c r="D11" s="17" t="str">
        <f>IF('2.0 Madurez'!H23+'2.0 Funcional'!I15=0,"Pasa","Eliminada")</f>
        <v>Eliminada</v>
      </c>
      <c r="E11" s="17" t="str">
        <f>IF('2.0 Madurez'!I23+'2.0 Funcional'!J15=0,"Pasa","Eliminada")</f>
        <v>Eliminada</v>
      </c>
    </row>
    <row r="13" spans="1:10" ht="25.95" customHeight="1" x14ac:dyDescent="0.3">
      <c r="A13" s="11" t="s">
        <v>211</v>
      </c>
      <c r="B13" s="11" t="s">
        <v>26</v>
      </c>
      <c r="C13" s="11" t="s">
        <v>26</v>
      </c>
      <c r="D13" s="11" t="s">
        <v>26</v>
      </c>
      <c r="E13" s="11" t="s">
        <v>26</v>
      </c>
      <c r="F13" s="11" t="s">
        <v>26</v>
      </c>
      <c r="H13" s="5" t="s">
        <v>20</v>
      </c>
      <c r="I13" s="5" t="s">
        <v>20</v>
      </c>
      <c r="J13" s="5" t="s">
        <v>20</v>
      </c>
    </row>
    <row r="14" spans="1:10" ht="30" customHeight="1" x14ac:dyDescent="0.3">
      <c r="A14" s="6" t="s">
        <v>212</v>
      </c>
      <c r="B14" s="6" t="s">
        <v>47</v>
      </c>
      <c r="C14" s="6" t="s">
        <v>48</v>
      </c>
      <c r="D14" s="6" t="s">
        <v>49</v>
      </c>
      <c r="E14" s="6" t="s">
        <v>50</v>
      </c>
      <c r="F14" s="6" t="s">
        <v>203</v>
      </c>
      <c r="H14" s="26" t="s">
        <v>213</v>
      </c>
      <c r="I14" s="26" t="s">
        <v>214</v>
      </c>
      <c r="J14" s="26" t="s">
        <v>215</v>
      </c>
    </row>
    <row r="15" spans="1:10" x14ac:dyDescent="0.3">
      <c r="A15" s="27" t="s">
        <v>216</v>
      </c>
      <c r="B15" s="13">
        <f>$H15*'2.0 Madurez'!F22+$I15*SUM('2.0 Funcional'!G5:G10)+$J15*SUM('2.0 Funcional'!G11:G12)</f>
        <v>117</v>
      </c>
      <c r="C15" s="13">
        <f>$H15*'2.0 Madurez'!G22+$I15*SUM('2.0 Funcional'!H5:H10)+$J15*SUM('2.0 Funcional'!H11:H12)</f>
        <v>123</v>
      </c>
      <c r="D15" s="13">
        <f>$H15*'2.0 Madurez'!H22+$I15*SUM('2.0 Funcional'!I5:I10)+$J15*SUM('2.0 Funcional'!I11:I12)</f>
        <v>114</v>
      </c>
      <c r="E15" s="13">
        <f>$H15*'2.0 Madurez'!I22+$I15*SUM('2.0 Funcional'!J5:J10)+$J15*SUM('2.0 Funcional'!J11:J12)</f>
        <v>111</v>
      </c>
      <c r="F15" s="28" t="str">
        <f>INDEX($B$14:$E$14,MATCH(MAX(B15:E15),B15:E15,0))</f>
        <v>Iceberg</v>
      </c>
      <c r="H15" s="12">
        <v>3</v>
      </c>
      <c r="I15" s="12">
        <v>3</v>
      </c>
      <c r="J15" s="12">
        <v>3</v>
      </c>
    </row>
    <row r="16" spans="1:10" x14ac:dyDescent="0.3">
      <c r="A16" s="29" t="s">
        <v>217</v>
      </c>
      <c r="B16" s="13">
        <f>$H16*'2.0 Madurez'!F22+$I16*SUM('2.0 Funcional'!G5:G10)+$J16*SUM('2.0 Funcional'!G11:G12)</f>
        <v>57</v>
      </c>
      <c r="C16" s="13">
        <f>$H16*'2.0 Madurez'!G22+$I16*SUM('2.0 Funcional'!H5:H10)+$J16*SUM('2.0 Funcional'!H11:H12)</f>
        <v>69</v>
      </c>
      <c r="D16" s="13">
        <f>$H16*'2.0 Madurez'!H22+$I16*SUM('2.0 Funcional'!I5:I10)+$J16*SUM('2.0 Funcional'!I11:I12)</f>
        <v>64</v>
      </c>
      <c r="E16" s="13">
        <f>$H16*'2.0 Madurez'!I22+$I16*SUM('2.0 Funcional'!J5:J10)+$J16*SUM('2.0 Funcional'!J11:J12)</f>
        <v>59</v>
      </c>
      <c r="F16" s="28" t="str">
        <f>INDEX($B$14:$E$14,MATCH(MAX(B16:E16),B16:E16,0))</f>
        <v>Iceberg</v>
      </c>
      <c r="H16" s="12">
        <v>1</v>
      </c>
      <c r="I16" s="12">
        <v>3</v>
      </c>
      <c r="J16" s="12">
        <v>3</v>
      </c>
    </row>
    <row r="17" spans="1:10" x14ac:dyDescent="0.3">
      <c r="A17" s="29" t="s">
        <v>218</v>
      </c>
      <c r="B17" s="13">
        <f>$H17*'2.0 Madurez'!F22+$I17*SUM('2.0 Funcional'!G5:G10)+$J17*SUM('2.0 Funcional'!G11:G12)</f>
        <v>111</v>
      </c>
      <c r="C17" s="13">
        <f>$H17*'2.0 Madurez'!G22+$I17*SUM('2.0 Funcional'!H5:H10)+$J17*SUM('2.0 Funcional'!H11:H12)</f>
        <v>119</v>
      </c>
      <c r="D17" s="13">
        <f>$H17*'2.0 Madurez'!H22+$I17*SUM('2.0 Funcional'!I5:I10)+$J17*SUM('2.0 Funcional'!I11:I12)</f>
        <v>108</v>
      </c>
      <c r="E17" s="13">
        <f>$H17*'2.0 Madurez'!I22+$I17*SUM('2.0 Funcional'!J5:J10)+$J17*SUM('2.0 Funcional'!J11:J12)</f>
        <v>103</v>
      </c>
      <c r="F17" s="28" t="str">
        <f>INDEX($B$14:$E$14,MATCH(MAX(B17:E17),B17:E17,0))</f>
        <v>Iceberg</v>
      </c>
      <c r="H17" s="12">
        <v>3</v>
      </c>
      <c r="I17" s="12">
        <v>3</v>
      </c>
      <c r="J17" s="12">
        <v>1</v>
      </c>
    </row>
    <row r="18" spans="1:10" x14ac:dyDescent="0.3">
      <c r="A18" s="29" t="s">
        <v>219</v>
      </c>
      <c r="B18" s="13">
        <f>$H18*'2.0 Madurez'!F22+$I18*SUM('2.0 Funcional'!G5:G10)+$J18*SUM('2.0 Funcional'!G11:G12)</f>
        <v>99</v>
      </c>
      <c r="C18" s="13">
        <f>$H18*'2.0 Madurez'!G22+$I18*SUM('2.0 Funcional'!H5:H10)+$J18*SUM('2.0 Funcional'!H11:H12)</f>
        <v>95</v>
      </c>
      <c r="D18" s="13">
        <f>$H18*'2.0 Madurez'!H22+$I18*SUM('2.0 Funcional'!I5:I10)+$J18*SUM('2.0 Funcional'!I11:I12)</f>
        <v>88</v>
      </c>
      <c r="E18" s="13">
        <f>$H18*'2.0 Madurez'!I22+$I18*SUM('2.0 Funcional'!J5:J10)+$J18*SUM('2.0 Funcional'!J11:J12)</f>
        <v>89</v>
      </c>
      <c r="F18" s="28" t="str">
        <f>INDEX($B$14:$E$14,MATCH(MAX(B18:E18),B18:E18,0))</f>
        <v>Hudi</v>
      </c>
      <c r="H18" s="12">
        <v>3</v>
      </c>
      <c r="I18" s="12">
        <v>1</v>
      </c>
      <c r="J18" s="12">
        <v>1</v>
      </c>
    </row>
    <row r="19" spans="1:10" x14ac:dyDescent="0.3">
      <c r="A19" s="29" t="s">
        <v>220</v>
      </c>
      <c r="B19" s="13">
        <f>$H19*'2.0 Madurez'!F22+$I19*SUM('2.0 Funcional'!G5:G10)+$J19*SUM('2.0 Funcional'!G11:G12)</f>
        <v>39</v>
      </c>
      <c r="C19" s="13">
        <f>$H19*'2.0 Madurez'!G22+$I19*SUM('2.0 Funcional'!H5:H10)+$J19*SUM('2.0 Funcional'!H11:H12)</f>
        <v>41</v>
      </c>
      <c r="D19" s="13">
        <f>$H19*'2.0 Madurez'!H22+$I19*SUM('2.0 Funcional'!I5:I10)+$J19*SUM('2.0 Funcional'!I11:I12)</f>
        <v>38</v>
      </c>
      <c r="E19" s="13">
        <f>$H19*'2.0 Madurez'!I22+$I19*SUM('2.0 Funcional'!J5:J10)+$J19*SUM('2.0 Funcional'!J11:J12)</f>
        <v>37</v>
      </c>
      <c r="F19" s="28" t="str">
        <f>INDEX($B$14:$E$14,MATCH(MAX(B19:E19),B19:E19,0))</f>
        <v>Iceberg</v>
      </c>
      <c r="H19" s="12">
        <v>1</v>
      </c>
      <c r="I19" s="12">
        <v>1</v>
      </c>
      <c r="J19" s="12">
        <v>1</v>
      </c>
    </row>
    <row r="21" spans="1:10" ht="30" customHeight="1" x14ac:dyDescent="0.3">
      <c r="A21" s="44" t="s">
        <v>221</v>
      </c>
      <c r="B21" s="45"/>
      <c r="C21" s="45"/>
      <c r="D21" s="45"/>
      <c r="E21" s="45"/>
      <c r="F21" s="45"/>
    </row>
    <row r="23" spans="1:10" x14ac:dyDescent="0.3">
      <c r="A23" s="34"/>
      <c r="B23" s="31"/>
      <c r="C23" s="31"/>
      <c r="D23" s="31"/>
      <c r="E23" s="31"/>
      <c r="F23" s="31"/>
      <c r="G23" s="31"/>
    </row>
    <row r="24" spans="1:10" x14ac:dyDescent="0.3">
      <c r="A24" s="35"/>
      <c r="B24" s="42"/>
      <c r="C24" s="42"/>
      <c r="D24" s="42"/>
      <c r="E24" s="42"/>
      <c r="F24" s="43"/>
      <c r="G24" s="31"/>
    </row>
  </sheetData>
  <mergeCells count="1">
    <mergeCell ref="A21:F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Léeme</vt:lpstr>
      <vt:lpstr>Pesos</vt:lpstr>
      <vt:lpstr>2.0 Madurez</vt:lpstr>
      <vt:lpstr>2.0 Funcional</vt:lpstr>
      <vt:lpstr>2.0 Selección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Evaluación QSOS 2.0</dc:title>
  <dc:creator>Roberto Monges</dc:creator>
  <cp:lastModifiedBy>Roberto Ariel Monges</cp:lastModifiedBy>
  <dcterms:created xsi:type="dcterms:W3CDTF">2026-10-28T16:57:56Z</dcterms:created>
  <dcterms:modified xsi:type="dcterms:W3CDTF">2026-10-28T17:34:38Z</dcterms:modified>
</cp:coreProperties>
</file>